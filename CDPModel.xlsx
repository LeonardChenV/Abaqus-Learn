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/>
  </bookViews>
  <sheets>
    <sheet name="ABAQUS中塑性损伤模型参数输入" sheetId="1" r:id="rId1"/>
  </sheets>
  <calcPr calcId="144525"/>
</workbook>
</file>

<file path=xl/sharedStrings.xml><?xml version="1.0" encoding="utf-8"?>
<sst xmlns="http://schemas.openxmlformats.org/spreadsheetml/2006/main" count="53" uniqueCount="38">
  <si>
    <t xml:space="preserve">分享创造价值：基于GB50010-2010规范的塑性损伤模型参数计算_张田V1.1.2                       </t>
  </si>
  <si>
    <t>控制参数</t>
  </si>
  <si>
    <t>f_cu</t>
  </si>
  <si>
    <t>E_c</t>
  </si>
  <si>
    <t>f_c</t>
  </si>
  <si>
    <t>f_t</t>
  </si>
  <si>
    <t>f_ce</t>
  </si>
  <si>
    <t>单位系统</t>
  </si>
  <si>
    <t>MPa</t>
  </si>
  <si>
    <t>受压本构曲线</t>
  </si>
  <si>
    <t>Input</t>
  </si>
  <si>
    <t>检查</t>
  </si>
  <si>
    <t>ε_c</t>
  </si>
  <si>
    <t>α_c</t>
  </si>
  <si>
    <t>ε</t>
  </si>
  <si>
    <t>x</t>
  </si>
  <si>
    <t>ρ_c</t>
  </si>
  <si>
    <t>n</t>
  </si>
  <si>
    <t>D_c</t>
  </si>
  <si>
    <t>ε_n</t>
  </si>
  <si>
    <t>σ_n</t>
  </si>
  <si>
    <t>ε_ture</t>
  </si>
  <si>
    <t>σ_ture</t>
  </si>
  <si>
    <t>ε_in</t>
  </si>
  <si>
    <t>d_c1</t>
  </si>
  <si>
    <t>d_c2</t>
  </si>
  <si>
    <t>应力</t>
  </si>
  <si>
    <t>非弹性应变</t>
  </si>
  <si>
    <t>损伤</t>
  </si>
  <si>
    <t>ε_cpl</t>
  </si>
  <si>
    <t>受拉伸本构曲线</t>
  </si>
  <si>
    <t>ε_t</t>
  </si>
  <si>
    <t>α_t</t>
  </si>
  <si>
    <t>D_t</t>
  </si>
  <si>
    <t>ε_ck</t>
  </si>
  <si>
    <t>开裂应变</t>
  </si>
  <si>
    <t>ε_tpl</t>
  </si>
  <si>
    <t>数据制作初衷是为了分享，使用者请尊重UP主的劳动成果，切勿盗窃商业化！！！问题反馈，请在B站评论区单独留言！！！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</si>
</sst>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0_ "/>
    <numFmt numFmtId="178" formatCode="0.000_ "/>
    <numFmt numFmtId="179" formatCode="0.00_ "/>
    <numFmt numFmtId="180" formatCode="0.0000_ "/>
    <numFmt numFmtId="181" formatCode="0.000000_ "/>
    <numFmt numFmtId="182" formatCode="#,##0.0000000_ "/>
  </numFmts>
  <fonts count="34">
    <font>
      <sz val="11"/>
      <color theme="1"/>
      <name val="等线"/>
      <charset val="134"/>
      <scheme val="minor"/>
    </font>
    <font>
      <sz val="24"/>
      <color rgb="FF000000"/>
      <name val="微软雅黑"/>
      <charset val="134"/>
    </font>
    <font>
      <sz val="12"/>
      <color rgb="FF000000"/>
      <name val="微软雅黑"/>
      <charset val="134"/>
    </font>
    <font>
      <sz val="16"/>
      <color rgb="FF000000"/>
      <name val="微软雅黑"/>
      <charset val="134"/>
    </font>
    <font>
      <i/>
      <sz val="16"/>
      <color theme="1"/>
      <name val="微软雅黑"/>
      <charset val="134"/>
    </font>
    <font>
      <sz val="16"/>
      <color theme="1"/>
      <name val="微软雅黑"/>
      <charset val="134"/>
    </font>
    <font>
      <sz val="20"/>
      <color rgb="FFFF0000"/>
      <name val="微软雅黑"/>
      <charset val="134"/>
    </font>
    <font>
      <i/>
      <sz val="15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i/>
      <sz val="16"/>
      <color rgb="FF000000"/>
      <name val="微软雅黑"/>
      <charset val="134"/>
    </font>
    <font>
      <sz val="13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8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0.149998474074526"/>
        <bgColor rgb="FFFFFFFF"/>
      </patternFill>
    </fill>
    <fill>
      <patternFill patternType="solid">
        <fgColor theme="0" tint="-0.499984740745262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7" tint="0.599993896298105"/>
        <bgColor rgb="FFFFFFFF"/>
      </patternFill>
    </fill>
    <fill>
      <patternFill patternType="solid">
        <fgColor theme="9" tint="0.399975585192419"/>
        <bgColor rgb="FFFFFFFF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5" fillId="10" borderId="0">
      <alignment vertical="center"/>
    </xf>
    <xf numFmtId="0" fontId="16" fillId="11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5" fillId="12" borderId="0">
      <alignment vertical="center"/>
    </xf>
    <xf numFmtId="0" fontId="17" fillId="13" borderId="0">
      <alignment vertical="center"/>
    </xf>
    <xf numFmtId="43" fontId="0" fillId="0" borderId="0">
      <alignment vertical="center"/>
    </xf>
    <xf numFmtId="0" fontId="18" fillId="14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20" fillId="0" borderId="0">
      <alignment vertical="center"/>
    </xf>
    <xf numFmtId="0" fontId="0" fillId="15" borderId="7">
      <alignment vertical="center"/>
    </xf>
    <xf numFmtId="0" fontId="18" fillId="16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8">
      <alignment vertical="center"/>
    </xf>
    <xf numFmtId="0" fontId="26" fillId="0" borderId="8">
      <alignment vertical="center"/>
    </xf>
    <xf numFmtId="0" fontId="18" fillId="17" borderId="0">
      <alignment vertical="center"/>
    </xf>
    <xf numFmtId="0" fontId="21" fillId="0" borderId="9">
      <alignment vertical="center"/>
    </xf>
    <xf numFmtId="0" fontId="18" fillId="18" borderId="0">
      <alignment vertical="center"/>
    </xf>
    <xf numFmtId="0" fontId="27" fillId="19" borderId="10">
      <alignment vertical="center"/>
    </xf>
    <xf numFmtId="0" fontId="28" fillId="19" borderId="6">
      <alignment vertical="center"/>
    </xf>
    <xf numFmtId="0" fontId="29" fillId="20" borderId="11">
      <alignment vertical="center"/>
    </xf>
    <xf numFmtId="0" fontId="15" fillId="21" borderId="0">
      <alignment vertical="center"/>
    </xf>
    <xf numFmtId="0" fontId="18" fillId="22" borderId="0">
      <alignment vertical="center"/>
    </xf>
    <xf numFmtId="0" fontId="30" fillId="0" borderId="12">
      <alignment vertical="center"/>
    </xf>
    <xf numFmtId="0" fontId="31" fillId="0" borderId="13">
      <alignment vertical="center"/>
    </xf>
    <xf numFmtId="0" fontId="32" fillId="23" borderId="0">
      <alignment vertical="center"/>
    </xf>
    <xf numFmtId="0" fontId="33" fillId="24" borderId="0">
      <alignment vertical="center"/>
    </xf>
    <xf numFmtId="0" fontId="15" fillId="25" borderId="0">
      <alignment vertical="center"/>
    </xf>
    <xf numFmtId="0" fontId="18" fillId="26" borderId="0">
      <alignment vertical="center"/>
    </xf>
    <xf numFmtId="0" fontId="15" fillId="27" borderId="0">
      <alignment vertical="center"/>
    </xf>
    <xf numFmtId="0" fontId="15" fillId="28" borderId="0">
      <alignment vertical="center"/>
    </xf>
    <xf numFmtId="0" fontId="15" fillId="29" borderId="0">
      <alignment vertical="center"/>
    </xf>
    <xf numFmtId="0" fontId="15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5" fillId="33" borderId="0">
      <alignment vertical="center"/>
    </xf>
    <xf numFmtId="0" fontId="15" fillId="34" borderId="0">
      <alignment vertical="center"/>
    </xf>
    <xf numFmtId="0" fontId="18" fillId="35" borderId="0">
      <alignment vertical="center"/>
    </xf>
    <xf numFmtId="0" fontId="15" fillId="36" borderId="0">
      <alignment vertical="center"/>
    </xf>
    <xf numFmtId="0" fontId="18" fillId="37" borderId="0">
      <alignment vertical="center"/>
    </xf>
    <xf numFmtId="0" fontId="18" fillId="38" borderId="0">
      <alignment vertical="center"/>
    </xf>
    <xf numFmtId="0" fontId="15" fillId="39" borderId="0">
      <alignment vertical="center"/>
    </xf>
    <xf numFmtId="0" fontId="18" fillId="40" borderId="0">
      <alignment vertical="center"/>
    </xf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176" fontId="5" fillId="3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7" fontId="8" fillId="5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79" fontId="8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5" fillId="6" borderId="1" xfId="0" applyFont="1" applyFill="1" applyBorder="1" applyAlignment="1">
      <alignment horizontal="center" vertical="center"/>
    </xf>
    <xf numFmtId="180" fontId="7" fillId="7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80" fontId="8" fillId="7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7" fontId="8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0" fontId="8" fillId="9" borderId="1" xfId="0" applyNumberFormat="1" applyFont="1" applyFill="1" applyBorder="1" applyAlignment="1">
      <alignment horizontal="center" vertical="center"/>
    </xf>
    <xf numFmtId="177" fontId="8" fillId="9" borderId="1" xfId="0" applyNumberFormat="1" applyFont="1" applyFill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9" fontId="8" fillId="8" borderId="1" xfId="0" applyNumberFormat="1" applyFont="1" applyFill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abSelected="1" workbookViewId="0">
      <selection activeCell="A1" sqref="A1:S1"/>
    </sheetView>
  </sheetViews>
  <sheetFormatPr defaultColWidth="9" defaultRowHeight="14.25"/>
  <cols>
    <col min="1" max="1" width="12.5" customWidth="1"/>
    <col min="2" max="2" width="9.875" customWidth="1"/>
    <col min="3" max="3" width="12.375" customWidth="1"/>
    <col min="4" max="4" width="9.875" customWidth="1"/>
    <col min="5" max="5" width="8.96666666666667" customWidth="1"/>
    <col min="6" max="6" width="7.75" customWidth="1"/>
    <col min="7" max="7" width="12.5" customWidth="1"/>
    <col min="8" max="8" width="8.375" customWidth="1"/>
    <col min="9" max="9" width="9.875" customWidth="1"/>
    <col min="10" max="10" width="10.25" customWidth="1"/>
    <col min="11" max="11" width="10.625" customWidth="1"/>
    <col min="12" max="12" width="10.25" customWidth="1"/>
    <col min="13" max="13" width="8.375" customWidth="1"/>
    <col min="14" max="14" width="8.25" customWidth="1"/>
    <col min="15" max="15" width="10.25" customWidth="1"/>
    <col min="16" max="16" width="12.625" customWidth="1"/>
    <col min="17" max="17" width="10.25" customWidth="1"/>
    <col min="18" max="18" width="12.625" customWidth="1"/>
    <col min="19" max="19" width="9.375" customWidth="1"/>
    <col min="20" max="20" width="10.625" customWidth="1"/>
  </cols>
  <sheetData>
    <row r="1" ht="32.25" customHeight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1"/>
      <c r="T1" s="30"/>
    </row>
    <row r="2" ht="22.5" customHeight="1" spans="1:2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8"/>
      <c r="M2" s="18"/>
      <c r="N2" s="18"/>
      <c r="O2" s="18"/>
      <c r="P2" s="18"/>
      <c r="Q2" s="18"/>
      <c r="R2" s="18"/>
      <c r="S2" s="18"/>
      <c r="T2" s="30"/>
      <c r="X2" s="30"/>
    </row>
    <row r="3" ht="22.5" customHeight="1" spans="1:19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4" t="s">
        <v>7</v>
      </c>
      <c r="H3" s="4" t="s">
        <v>8</v>
      </c>
      <c r="I3" s="19"/>
      <c r="J3" s="4"/>
      <c r="K3" s="4"/>
      <c r="L3" s="19"/>
      <c r="M3" s="4"/>
      <c r="N3" s="4"/>
      <c r="O3" s="4"/>
      <c r="P3" s="4"/>
      <c r="Q3" s="4"/>
      <c r="R3" s="20"/>
      <c r="S3" s="20"/>
    </row>
    <row r="4" ht="22.5" customHeight="1" spans="1:19">
      <c r="A4" s="7"/>
      <c r="B4" s="8">
        <v>34.4</v>
      </c>
      <c r="C4" s="9">
        <f>10000*(3.617*EXP(-1*((B4-87.76)/42.82)^2)+0.1255*EXP(-1*((B4-56.39)/10.89)^2)+2.415*EXP(-1*((B4-29.23)/35.06)^2))</f>
        <v>31306.720829953</v>
      </c>
      <c r="D4" s="9">
        <f>-2.688*EXP(-1*((B4-16.38)/14.25)^2)+46.26*EXP(-1*((B4-126.3)/91.91)^2)</f>
        <v>16.4786283148681</v>
      </c>
      <c r="E4" s="9">
        <f>1.2*EXP(-1*((B4-93.22)/25.19)^2)+0.04168*EXP(-1*((B4-62.97)/8.828)^2)+1.828*EXP(-1*((B4-53.11)/46.46)^2)</f>
        <v>1.5594754363583</v>
      </c>
      <c r="F4" s="4">
        <f>0.6*D4</f>
        <v>9.88717698892084</v>
      </c>
      <c r="G4" s="7"/>
      <c r="H4" s="7"/>
      <c r="I4" s="20"/>
      <c r="J4" s="4"/>
      <c r="K4" s="4"/>
      <c r="L4" s="4"/>
      <c r="M4" s="4"/>
      <c r="N4" s="4"/>
      <c r="O4" s="4"/>
      <c r="P4" s="4"/>
      <c r="Q4" s="4"/>
      <c r="R4" s="20"/>
      <c r="S4" s="20"/>
    </row>
    <row r="5" ht="27.75" customHeight="1" spans="1:23">
      <c r="A5" s="10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1"/>
      <c r="O5" s="22" t="s">
        <v>10</v>
      </c>
      <c r="P5" s="2"/>
      <c r="Q5" s="2"/>
      <c r="R5" s="21"/>
      <c r="S5" s="24" t="s">
        <v>11</v>
      </c>
      <c r="U5" s="31"/>
      <c r="V5" s="31"/>
      <c r="W5" s="31"/>
    </row>
    <row r="6" ht="21.75" customHeight="1" spans="1:19">
      <c r="A6" s="11" t="s">
        <v>12</v>
      </c>
      <c r="B6" s="11" t="s">
        <v>13</v>
      </c>
      <c r="C6" s="11" t="s">
        <v>14</v>
      </c>
      <c r="D6" s="11" t="s">
        <v>15</v>
      </c>
      <c r="E6" s="11" t="s">
        <v>16</v>
      </c>
      <c r="F6" s="11" t="s">
        <v>17</v>
      </c>
      <c r="G6" s="11" t="s">
        <v>18</v>
      </c>
      <c r="H6" s="11" t="s">
        <v>19</v>
      </c>
      <c r="I6" s="11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23" t="s">
        <v>25</v>
      </c>
      <c r="O6" s="24" t="s">
        <v>26</v>
      </c>
      <c r="P6" s="24" t="s">
        <v>27</v>
      </c>
      <c r="Q6" s="24" t="s">
        <v>28</v>
      </c>
      <c r="R6" s="24" t="s">
        <v>27</v>
      </c>
      <c r="S6" s="11" t="s">
        <v>29</v>
      </c>
    </row>
    <row r="7" ht="16.5" customHeight="1" spans="1:19">
      <c r="A7" s="12">
        <f>(700+172*$D$4^0.5)*10^(-6)</f>
        <v>0.00139821468050096</v>
      </c>
      <c r="B7" s="13">
        <f>0.157*$D$4^0.785-0.905</f>
        <v>0.511389449207738</v>
      </c>
      <c r="C7" s="12">
        <f>$F$4/$C$4</f>
        <v>0.000315816435794234</v>
      </c>
      <c r="D7" s="14">
        <f t="shared" ref="D7:D13" si="0">C7/A7</f>
        <v>0.225871205758676</v>
      </c>
      <c r="E7" s="13">
        <f>$D$4/$C$4/$A$7</f>
        <v>0.376452009597794</v>
      </c>
      <c r="F7" s="13">
        <f>$C$4*$A$7/($C$4*$A$7-$D$4)</f>
        <v>1.60372580040707</v>
      </c>
      <c r="G7" s="13">
        <f t="shared" ref="G7:G13" si="1">1-E7*F7/(F7-1+D7^F7)</f>
        <v>0.132231295947389</v>
      </c>
      <c r="H7" s="12">
        <f t="shared" ref="H7:H70" si="2">C7</f>
        <v>0.000315816435794234</v>
      </c>
      <c r="I7" s="25">
        <f>(1-G7)*$C$4*H7</f>
        <v>8.57978276241464</v>
      </c>
      <c r="J7" s="12">
        <f t="shared" ref="J7:J70" si="3">LN(1+H7)</f>
        <v>0.000315766576280948</v>
      </c>
      <c r="K7" s="25">
        <f t="shared" ref="K7:K70" si="4">I7*(1+H7)</f>
        <v>8.58249239882655</v>
      </c>
      <c r="L7" s="12">
        <f>J7-K7/$C$4</f>
        <v>4.16244058044035e-5</v>
      </c>
      <c r="M7" s="26">
        <f>1-(K7/J7/$C$4)^0.5</f>
        <v>0.0682383225612085</v>
      </c>
      <c r="N7" s="27">
        <f>1-(K7/$C$4)/(0.7*L7*(1/0.5-1)+K7/$C$4)</f>
        <v>0.0960734492285404</v>
      </c>
      <c r="O7" s="28">
        <f t="shared" ref="O7:O70" si="5">K7</f>
        <v>8.58249239882655</v>
      </c>
      <c r="P7" s="29">
        <v>0</v>
      </c>
      <c r="Q7" s="32">
        <v>0</v>
      </c>
      <c r="R7" s="33">
        <v>0</v>
      </c>
      <c r="S7" s="34"/>
    </row>
    <row r="8" ht="16.5" customHeight="1" spans="1:19">
      <c r="A8" s="12">
        <f>(700+172*$D$4^0.5)*10^(-6)</f>
        <v>0.00139821468050096</v>
      </c>
      <c r="B8" s="13">
        <f>0.157*$D$4^0.785-0.905</f>
        <v>0.511389449207738</v>
      </c>
      <c r="C8" s="12">
        <f>$C$7+$A$7/10</f>
        <v>0.00045563790384433</v>
      </c>
      <c r="D8" s="14">
        <f t="shared" si="0"/>
        <v>0.325871205758676</v>
      </c>
      <c r="E8" s="13">
        <f>$D$4/$C$4/$A$7</f>
        <v>0.376452009597794</v>
      </c>
      <c r="F8" s="13">
        <f>$C$4*$A$7/($C$4*$A$7-$D$4)</f>
        <v>1.60372580040707</v>
      </c>
      <c r="G8" s="13">
        <f t="shared" si="1"/>
        <v>0.215253000705706</v>
      </c>
      <c r="H8" s="12">
        <f t="shared" si="2"/>
        <v>0.00045563790384433</v>
      </c>
      <c r="I8" s="25">
        <f>(1-G8)*$C$4*H8</f>
        <v>11.1940460585152</v>
      </c>
      <c r="J8" s="12">
        <f t="shared" si="3"/>
        <v>0.000455534132414844</v>
      </c>
      <c r="K8" s="25">
        <f t="shared" si="4"/>
        <v>11.1991464901968</v>
      </c>
      <c r="L8" s="12">
        <f>J8-K8/$C$4</f>
        <v>9.78107365016587e-5</v>
      </c>
      <c r="M8" s="26">
        <f>1-(K8/J8/$C$4)^0.5</f>
        <v>0.113837820774024</v>
      </c>
      <c r="N8" s="27">
        <f>1-(K8/$C$4)/(0.7*L8*(1/0.5-1)+K8/$C$4)</f>
        <v>0.160649872414956</v>
      </c>
      <c r="O8" s="28">
        <f t="shared" si="5"/>
        <v>11.1991464901968</v>
      </c>
      <c r="P8" s="29">
        <f t="shared" ref="P8:P70" si="6">L8</f>
        <v>9.78107365016587e-5</v>
      </c>
      <c r="Q8" s="32">
        <f t="shared" ref="Q8:Q70" si="7">M8</f>
        <v>0.113837820774024</v>
      </c>
      <c r="R8" s="33">
        <f t="shared" ref="R8:R70" si="8">L8</f>
        <v>9.78107365016587e-5</v>
      </c>
      <c r="S8" s="34">
        <f>L8-Q8*O8/((1-Q8)*$C$4)</f>
        <v>5.18570129222914e-5</v>
      </c>
    </row>
    <row r="9" ht="16.5" customHeight="1" spans="1:19">
      <c r="A9" s="12">
        <f>(700+172*$D$4^0.5)*10^(-6)</f>
        <v>0.00139821468050096</v>
      </c>
      <c r="B9" s="13">
        <f>0.157*$D$4^0.785-0.905</f>
        <v>0.511389449207738</v>
      </c>
      <c r="C9" s="12">
        <f>$C$7+$A$7/8</f>
        <v>0.000490593270856854</v>
      </c>
      <c r="D9" s="14">
        <f t="shared" si="0"/>
        <v>0.350871205758676</v>
      </c>
      <c r="E9" s="13">
        <f>$D$4/$C$4/$A$7</f>
        <v>0.376452009597794</v>
      </c>
      <c r="F9" s="13">
        <f>$C$4*$A$7/($C$4*$A$7-$D$4)</f>
        <v>1.60372580040707</v>
      </c>
      <c r="G9" s="13">
        <f t="shared" si="1"/>
        <v>0.235951552717437</v>
      </c>
      <c r="H9" s="12">
        <f t="shared" si="2"/>
        <v>0.000490593270856854</v>
      </c>
      <c r="I9" s="25">
        <f>(1-G9)*$C$4*H9</f>
        <v>11.7349181561802</v>
      </c>
      <c r="J9" s="12">
        <f t="shared" si="3"/>
        <v>0.000490472969322534</v>
      </c>
      <c r="K9" s="25">
        <f t="shared" si="4"/>
        <v>11.7406752280616</v>
      </c>
      <c r="L9" s="12">
        <f>J9-K9/$C$4</f>
        <v>0.000115452049954043</v>
      </c>
      <c r="M9" s="26">
        <f>1-(K9/J9/$C$4)^0.5</f>
        <v>0.125579746665772</v>
      </c>
      <c r="N9" s="27">
        <f>1-(K9/$C$4)/(0.7*L9*(1/0.5-1)+K9/$C$4)</f>
        <v>0.177292260493867</v>
      </c>
      <c r="O9" s="28">
        <f t="shared" si="5"/>
        <v>11.7406752280616</v>
      </c>
      <c r="P9" s="29">
        <f t="shared" si="6"/>
        <v>0.000115452049954043</v>
      </c>
      <c r="Q9" s="32">
        <f t="shared" si="7"/>
        <v>0.125579746665772</v>
      </c>
      <c r="R9" s="33">
        <f t="shared" si="8"/>
        <v>0.000115452049954043</v>
      </c>
      <c r="S9" s="34">
        <f>L9-Q9*O9/((1-Q9)*$C$4)</f>
        <v>6.15934712339329e-5</v>
      </c>
    </row>
    <row r="10" ht="16.5" customHeight="1" spans="1:19">
      <c r="A10" s="12">
        <f>(700+172*$D$4^0.5)*10^(-6)</f>
        <v>0.00139821468050096</v>
      </c>
      <c r="B10" s="13">
        <f>0.157*$D$4^0.785-0.905</f>
        <v>0.511389449207738</v>
      </c>
      <c r="C10" s="12">
        <f>$C$7+$A$7/6</f>
        <v>0.000548852215877727</v>
      </c>
      <c r="D10" s="14">
        <f t="shared" si="0"/>
        <v>0.392537872425343</v>
      </c>
      <c r="E10" s="13">
        <f>$D$4/$C$4/$A$7</f>
        <v>0.376452009597794</v>
      </c>
      <c r="F10" s="13">
        <f>$C$4*$A$7/($C$4*$A$7-$D$4)</f>
        <v>1.60372580040707</v>
      </c>
      <c r="G10" s="13">
        <f t="shared" si="1"/>
        <v>0.26991684041957</v>
      </c>
      <c r="H10" s="12">
        <f t="shared" si="2"/>
        <v>0.000548852215877727</v>
      </c>
      <c r="I10" s="25">
        <f>(1-G10)*$C$4*H10</f>
        <v>12.5448459739211</v>
      </c>
      <c r="J10" s="12">
        <f t="shared" si="3"/>
        <v>0.000548701651589377</v>
      </c>
      <c r="K10" s="25">
        <f t="shared" si="4"/>
        <v>12.5517312404317</v>
      </c>
      <c r="L10" s="12">
        <f>J10-K10/$C$4</f>
        <v>0.000147773962336699</v>
      </c>
      <c r="M10" s="26">
        <f>1-(K10/J10/$C$4)^0.5</f>
        <v>0.145199255467912</v>
      </c>
      <c r="N10" s="27">
        <f>1-(K10/$C$4)/(0.7*L10*(1/0.5-1)+K10/$C$4)</f>
        <v>0.205091269886386</v>
      </c>
      <c r="O10" s="28">
        <f t="shared" si="5"/>
        <v>12.5517312404317</v>
      </c>
      <c r="P10" s="29">
        <f t="shared" si="6"/>
        <v>0.000147773962336699</v>
      </c>
      <c r="Q10" s="32">
        <f t="shared" si="7"/>
        <v>0.145199255467912</v>
      </c>
      <c r="R10" s="33">
        <f t="shared" si="8"/>
        <v>0.000147773962336699</v>
      </c>
      <c r="S10" s="34">
        <f>L10-Q10*O10/((1-Q10)*$C$4)</f>
        <v>7.9671071284791e-5</v>
      </c>
    </row>
    <row r="11" ht="16.5" customHeight="1" spans="1:19">
      <c r="A11" s="12">
        <f>(700+172*$D$4^0.5)*10^(-6)</f>
        <v>0.00139821468050096</v>
      </c>
      <c r="B11" s="13">
        <f>0.157*$D$4^0.785-0.905</f>
        <v>0.511389449207738</v>
      </c>
      <c r="C11" s="12">
        <f>$C$7+$A$7/4</f>
        <v>0.000665370105919474</v>
      </c>
      <c r="D11" s="14">
        <f t="shared" si="0"/>
        <v>0.475871205758676</v>
      </c>
      <c r="E11" s="13">
        <f>$D$4/$C$4/$A$7</f>
        <v>0.376452009597794</v>
      </c>
      <c r="F11" s="13">
        <f>$C$4*$A$7/($C$4*$A$7-$D$4)</f>
        <v>1.60372580040707</v>
      </c>
      <c r="G11" s="13">
        <f t="shared" si="1"/>
        <v>0.334855656450189</v>
      </c>
      <c r="H11" s="12">
        <f t="shared" si="2"/>
        <v>0.000665370105919474</v>
      </c>
      <c r="I11" s="25">
        <f>(1-G11)*$C$4*H11</f>
        <v>13.8553265992403</v>
      </c>
      <c r="J11" s="12">
        <f t="shared" si="3"/>
        <v>0.000665148845371787</v>
      </c>
      <c r="K11" s="25">
        <f t="shared" si="4"/>
        <v>13.8645455193672</v>
      </c>
      <c r="L11" s="12">
        <f>J11-K11/$C$4</f>
        <v>0.000222287212092641</v>
      </c>
      <c r="M11" s="26">
        <f>1-(K11/J11/$C$4)^0.5</f>
        <v>0.184029218058972</v>
      </c>
      <c r="N11" s="27">
        <f>1-(K11/$C$4)/(0.7*L11*(1/0.5-1)+K11/$C$4)</f>
        <v>0.260001255235177</v>
      </c>
      <c r="O11" s="28">
        <f t="shared" si="5"/>
        <v>13.8645455193672</v>
      </c>
      <c r="P11" s="29">
        <f t="shared" si="6"/>
        <v>0.000222287212092641</v>
      </c>
      <c r="Q11" s="32">
        <f t="shared" si="7"/>
        <v>0.184029218058972</v>
      </c>
      <c r="R11" s="33">
        <f t="shared" si="8"/>
        <v>0.000222287212092641</v>
      </c>
      <c r="S11" s="34">
        <f>L11-Q11*O11/((1-Q11)*$C$4)</f>
        <v>0.000122406821906598</v>
      </c>
    </row>
    <row r="12" ht="16.5" customHeight="1" spans="1:19">
      <c r="A12" s="12">
        <f>(700+172*$D$4^0.5)*10^(-6)</f>
        <v>0.00139821468050096</v>
      </c>
      <c r="B12" s="13">
        <f>0.157*$D$4^0.785-0.905</f>
        <v>0.511389449207738</v>
      </c>
      <c r="C12" s="12">
        <f>$C$7+$A$7/2</f>
        <v>0.00101492377604471</v>
      </c>
      <c r="D12" s="14">
        <f t="shared" si="0"/>
        <v>0.725871205758676</v>
      </c>
      <c r="E12" s="13">
        <f>$D$4/$C$4/$A$7</f>
        <v>0.376452009597794</v>
      </c>
      <c r="F12" s="13">
        <f>$C$4*$A$7/($C$4*$A$7-$D$4)</f>
        <v>1.60372580040707</v>
      </c>
      <c r="G12" s="13">
        <f t="shared" si="1"/>
        <v>0.49770731185401</v>
      </c>
      <c r="H12" s="12">
        <f t="shared" si="2"/>
        <v>0.00101492377604471</v>
      </c>
      <c r="I12" s="25">
        <f>(1-G12)*$C$4*H12</f>
        <v>15.9598153850171</v>
      </c>
      <c r="J12" s="12">
        <f t="shared" si="3"/>
        <v>0.00101440908912492</v>
      </c>
      <c r="K12" s="25">
        <f t="shared" si="4"/>
        <v>15.9760133811126</v>
      </c>
      <c r="L12" s="12">
        <f>J12-K12/$C$4</f>
        <v>0.00050410290062665</v>
      </c>
      <c r="M12" s="26">
        <f>1-(K12/J12/$C$4)^0.5</f>
        <v>0.29073447363223</v>
      </c>
      <c r="N12" s="27">
        <f>1-(K12/$C$4)/(0.7*L12*(1/0.5-1)+K12/$C$4)</f>
        <v>0.408805531345829</v>
      </c>
      <c r="O12" s="28">
        <f t="shared" si="5"/>
        <v>15.9760133811126</v>
      </c>
      <c r="P12" s="29">
        <f t="shared" si="6"/>
        <v>0.00050410290062665</v>
      </c>
      <c r="Q12" s="32">
        <f t="shared" si="7"/>
        <v>0.29073447363223</v>
      </c>
      <c r="R12" s="33">
        <f t="shared" si="8"/>
        <v>0.00050410290062665</v>
      </c>
      <c r="S12" s="34">
        <f>L12-Q12*O12/((1-Q12)*$C$4)</f>
        <v>0.000294923692574483</v>
      </c>
    </row>
    <row r="13" ht="16.5" customHeight="1" spans="1:19">
      <c r="A13" s="15">
        <f>(700+172*$D$4^0.5)*10^(-6)</f>
        <v>0.00139821468050096</v>
      </c>
      <c r="B13" s="16">
        <f>0.157*$D$4^0.785-0.905</f>
        <v>0.511389449207738</v>
      </c>
      <c r="C13" s="15">
        <f>A13</f>
        <v>0.00139821468050096</v>
      </c>
      <c r="D13" s="17">
        <f t="shared" si="0"/>
        <v>1</v>
      </c>
      <c r="E13" s="16">
        <f>$D$4/$C$4/$A$7</f>
        <v>0.376452009597794</v>
      </c>
      <c r="F13" s="16">
        <f>$C$4*$A$7/($C$4*$A$7-$D$4)</f>
        <v>1.60372580040707</v>
      </c>
      <c r="G13" s="16">
        <f t="shared" si="1"/>
        <v>0.623547990402206</v>
      </c>
      <c r="H13" s="12">
        <f t="shared" si="2"/>
        <v>0.00139821468050096</v>
      </c>
      <c r="I13" s="25">
        <f>(1-G13)*$C$4*H13</f>
        <v>16.4786283148681</v>
      </c>
      <c r="J13" s="12">
        <f t="shared" si="3"/>
        <v>0.00139723808857202</v>
      </c>
      <c r="K13" s="25">
        <f t="shared" si="4"/>
        <v>16.5016689748924</v>
      </c>
      <c r="L13" s="12">
        <f>J13-K13/$C$4</f>
        <v>0.000870141396953508</v>
      </c>
      <c r="M13" s="26">
        <f>1-(K13/J13/$C$4)^0.5</f>
        <v>0.385799823105988</v>
      </c>
      <c r="N13" s="27">
        <f>1-(K13/$C$4)/(0.7*L13*(1/0.5-1)+K13/$C$4)</f>
        <v>0.536086339902196</v>
      </c>
      <c r="O13" s="28">
        <f t="shared" si="5"/>
        <v>16.5016689748924</v>
      </c>
      <c r="P13" s="29">
        <f t="shared" si="6"/>
        <v>0.000870141396953508</v>
      </c>
      <c r="Q13" s="32">
        <f t="shared" si="7"/>
        <v>0.385799823105988</v>
      </c>
      <c r="R13" s="33">
        <f t="shared" si="8"/>
        <v>0.000870141396953508</v>
      </c>
      <c r="S13" s="34">
        <f>L13-Q13*O13/((1-Q13)*$C$4)</f>
        <v>0.000539054207408033</v>
      </c>
    </row>
    <row r="14" ht="16.5" customHeight="1" spans="1:19">
      <c r="A14" s="12">
        <f>(700+172*$D$4^0.5)*10^(-6)</f>
        <v>0.00139821468050096</v>
      </c>
      <c r="B14" s="13">
        <f>0.157*$D$4^0.785-0.905</f>
        <v>0.511389449207738</v>
      </c>
      <c r="C14" s="12">
        <f t="shared" ref="C14:C70" si="9">D14*A14</f>
        <v>0.00153803614855106</v>
      </c>
      <c r="D14" s="14">
        <v>1.1</v>
      </c>
      <c r="E14" s="13">
        <f>$D$4/$C$4/$A$7</f>
        <v>0.376452009597794</v>
      </c>
      <c r="F14" s="13">
        <f>$C$4*$A$7/($C$4*$A$7-$D$4)</f>
        <v>1.60372580040707</v>
      </c>
      <c r="G14" s="13">
        <f t="shared" ref="G14:G70" si="10">1-E14/(B14*(D14-1)^2+D14)</f>
        <v>0.659354559313712</v>
      </c>
      <c r="H14" s="12">
        <f t="shared" si="2"/>
        <v>0.00153803614855106</v>
      </c>
      <c r="I14" s="25">
        <f>(1-G14)*$C$4*H14</f>
        <v>16.4023737613814</v>
      </c>
      <c r="J14" s="12">
        <f t="shared" si="3"/>
        <v>0.00153685458232651</v>
      </c>
      <c r="K14" s="25">
        <f t="shared" si="4"/>
        <v>16.4276012051485</v>
      </c>
      <c r="L14" s="12">
        <f>J14-K14/$C$4</f>
        <v>0.00101212376512028</v>
      </c>
      <c r="M14" s="26">
        <f>1-(K14/J14/$C$4)^0.5</f>
        <v>0.415678458472059</v>
      </c>
      <c r="N14" s="27">
        <f>1-(K14/$C$4)/(0.7*L14*(1/0.5-1)+K14/$C$4)</f>
        <v>0.574502602100782</v>
      </c>
      <c r="O14" s="28">
        <f t="shared" si="5"/>
        <v>16.4276012051485</v>
      </c>
      <c r="P14" s="29">
        <f t="shared" si="6"/>
        <v>0.00101212376512028</v>
      </c>
      <c r="Q14" s="32">
        <f t="shared" si="7"/>
        <v>0.415678458472059</v>
      </c>
      <c r="R14" s="33">
        <f t="shared" si="8"/>
        <v>0.00101212376512028</v>
      </c>
      <c r="S14" s="34">
        <f>L14-Q14*O14/((1-Q14)*$C$4)</f>
        <v>0.000638837343677205</v>
      </c>
    </row>
    <row r="15" ht="16.5" customHeight="1" spans="1:19">
      <c r="A15" s="12">
        <f>(700+172*$D$4^0.5)*10^(-6)</f>
        <v>0.00139821468050096</v>
      </c>
      <c r="B15" s="13">
        <f>0.157*$D$4^0.785-0.905</f>
        <v>0.511389449207738</v>
      </c>
      <c r="C15" s="12">
        <f t="shared" si="9"/>
        <v>0.00167785761660115</v>
      </c>
      <c r="D15" s="14">
        <v>1.2</v>
      </c>
      <c r="E15" s="13">
        <f>$D$4/$C$4/$A$7</f>
        <v>0.376452009597794</v>
      </c>
      <c r="F15" s="13">
        <f>$C$4*$A$7/($C$4*$A$7-$D$4)</f>
        <v>1.60372580040707</v>
      </c>
      <c r="G15" s="13">
        <f t="shared" si="10"/>
        <v>0.691547962585846</v>
      </c>
      <c r="H15" s="12">
        <f t="shared" si="2"/>
        <v>0.00167785761660115</v>
      </c>
      <c r="I15" s="25">
        <f>(1-G15)*$C$4*H15</f>
        <v>16.2024364793023</v>
      </c>
      <c r="J15" s="12">
        <f t="shared" si="3"/>
        <v>0.00167645158603678</v>
      </c>
      <c r="K15" s="25">
        <f t="shared" si="4"/>
        <v>16.2296218607566</v>
      </c>
      <c r="L15" s="12">
        <f>J15-K15/$C$4</f>
        <v>0.00115804462962285</v>
      </c>
      <c r="M15" s="26">
        <f>1-(K15/J15/$C$4)^0.5</f>
        <v>0.443916636583144</v>
      </c>
      <c r="N15" s="27">
        <f>1-(K15/$C$4)/(0.7*L15*(1/0.5-1)+K15/$C$4)</f>
        <v>0.609938256458214</v>
      </c>
      <c r="O15" s="28">
        <f t="shared" si="5"/>
        <v>16.2296218607566</v>
      </c>
      <c r="P15" s="29">
        <f t="shared" si="6"/>
        <v>0.00115804462962285</v>
      </c>
      <c r="Q15" s="32">
        <f t="shared" si="7"/>
        <v>0.443916636583144</v>
      </c>
      <c r="R15" s="33">
        <f t="shared" si="8"/>
        <v>0.00115804462962285</v>
      </c>
      <c r="S15" s="34">
        <f>L15-Q15*O15/((1-Q15)*$C$4)</f>
        <v>0.000744204749467925</v>
      </c>
    </row>
    <row r="16" ht="16.5" customHeight="1" spans="1:19">
      <c r="A16" s="12">
        <f>(700+172*$D$4^0.5)*10^(-6)</f>
        <v>0.00139821468050096</v>
      </c>
      <c r="B16" s="13">
        <f>0.157*$D$4^0.785-0.905</f>
        <v>0.511389449207738</v>
      </c>
      <c r="C16" s="12">
        <f t="shared" si="9"/>
        <v>0.00181767908465125</v>
      </c>
      <c r="D16" s="14">
        <v>1.3</v>
      </c>
      <c r="E16" s="13">
        <f>$D$4/$C$4/$A$7</f>
        <v>0.376452009597794</v>
      </c>
      <c r="F16" s="13">
        <f>$C$4*$A$7/($C$4*$A$7-$D$4)</f>
        <v>1.60372580040707</v>
      </c>
      <c r="G16" s="13">
        <f t="shared" si="10"/>
        <v>0.720323177137084</v>
      </c>
      <c r="H16" s="12">
        <f t="shared" si="2"/>
        <v>0.00181767908465125</v>
      </c>
      <c r="I16" s="25">
        <f>(1-G16)*$C$4*H16</f>
        <v>15.9151694855201</v>
      </c>
      <c r="J16" s="12">
        <f t="shared" si="3"/>
        <v>0.00181602910514356</v>
      </c>
      <c r="K16" s="25">
        <f t="shared" si="4"/>
        <v>15.9440981562226</v>
      </c>
      <c r="L16" s="12">
        <f>J16-K16/$C$4</f>
        <v>0.00130674235349604</v>
      </c>
      <c r="M16" s="26">
        <f>1-(K16/J16/$C$4)^0.5</f>
        <v>0.470434374343643</v>
      </c>
      <c r="N16" s="27">
        <f>1-(K16/$C$4)/(0.7*L16*(1/0.5-1)+K16/$C$4)</f>
        <v>0.642356416395824</v>
      </c>
      <c r="O16" s="28">
        <f t="shared" si="5"/>
        <v>15.9440981562226</v>
      </c>
      <c r="P16" s="29">
        <f t="shared" si="6"/>
        <v>0.00130674235349604</v>
      </c>
      <c r="Q16" s="32">
        <f t="shared" si="7"/>
        <v>0.470434374343643</v>
      </c>
      <c r="R16" s="33">
        <f t="shared" si="8"/>
        <v>0.00130674235349604</v>
      </c>
      <c r="S16" s="34">
        <f>L16-Q16*O16/((1-Q16)*$C$4)</f>
        <v>0.000854322515868058</v>
      </c>
    </row>
    <row r="17" ht="16.5" customHeight="1" spans="1:19">
      <c r="A17" s="12">
        <f>(700+172*$D$4^0.5)*10^(-6)</f>
        <v>0.00139821468050096</v>
      </c>
      <c r="B17" s="13">
        <f>0.157*$D$4^0.785-0.905</f>
        <v>0.511389449207738</v>
      </c>
      <c r="C17" s="12">
        <f t="shared" si="9"/>
        <v>0.00195750055270134</v>
      </c>
      <c r="D17" s="14">
        <v>1.4</v>
      </c>
      <c r="E17" s="13">
        <f>$D$4/$C$4/$A$7</f>
        <v>0.376452009597794</v>
      </c>
      <c r="F17" s="13">
        <f>$C$4*$A$7/($C$4*$A$7-$D$4)</f>
        <v>1.60372580040707</v>
      </c>
      <c r="G17" s="13">
        <f t="shared" si="10"/>
        <v>0.745953339626865</v>
      </c>
      <c r="H17" s="12">
        <f t="shared" si="2"/>
        <v>0.00195750055270134</v>
      </c>
      <c r="I17" s="25">
        <f>(1-G17)*$C$4*H17</f>
        <v>15.5687220093557</v>
      </c>
      <c r="J17" s="12">
        <f t="shared" si="3"/>
        <v>0.00195558714508511</v>
      </c>
      <c r="K17" s="25">
        <f t="shared" si="4"/>
        <v>15.5991977912939</v>
      </c>
      <c r="L17" s="12">
        <f>J17-K17/$C$4</f>
        <v>0.00145731720886204</v>
      </c>
      <c r="M17" s="26">
        <f>1-(K17/J17/$C$4)^0.5</f>
        <v>0.49522974471697</v>
      </c>
      <c r="N17" s="27">
        <f>1-(K17/$C$4)/(0.7*L17*(1/0.5-1)+K17/$C$4)</f>
        <v>0.67184367278679</v>
      </c>
      <c r="O17" s="28">
        <f t="shared" si="5"/>
        <v>15.5991977912939</v>
      </c>
      <c r="P17" s="29">
        <f t="shared" si="6"/>
        <v>0.00145731720886204</v>
      </c>
      <c r="Q17" s="32">
        <f t="shared" si="7"/>
        <v>0.49522974471697</v>
      </c>
      <c r="R17" s="33">
        <f t="shared" si="8"/>
        <v>0.00145731720886204</v>
      </c>
      <c r="S17" s="34">
        <f>L17-Q17*O17/((1-Q17)*$C$4)</f>
        <v>0.000968464922632285</v>
      </c>
    </row>
    <row r="18" ht="16.5" customHeight="1" spans="1:19">
      <c r="A18" s="12">
        <f>(700+172*$D$4^0.5)*10^(-6)</f>
        <v>0.00139821468050096</v>
      </c>
      <c r="B18" s="13">
        <f>0.157*$D$4^0.785-0.905</f>
        <v>0.511389449207738</v>
      </c>
      <c r="C18" s="12">
        <f t="shared" si="9"/>
        <v>0.00209732202075144</v>
      </c>
      <c r="D18" s="14">
        <v>1.5</v>
      </c>
      <c r="E18" s="13">
        <f>$D$4/$C$4/$A$7</f>
        <v>0.376452009597794</v>
      </c>
      <c r="F18" s="13">
        <f>$C$4*$A$7/($C$4*$A$7-$D$4)</f>
        <v>1.60372580040707</v>
      </c>
      <c r="G18" s="13">
        <f t="shared" si="10"/>
        <v>0.768742439668635</v>
      </c>
      <c r="H18" s="12">
        <f t="shared" si="2"/>
        <v>0.00209732202075144</v>
      </c>
      <c r="I18" s="25">
        <f>(1-G18)*$C$4*H18</f>
        <v>15.1844350058402</v>
      </c>
      <c r="J18" s="12">
        <f t="shared" si="3"/>
        <v>0.00209512571129804</v>
      </c>
      <c r="K18" s="25">
        <f t="shared" si="4"/>
        <v>15.2162816557506</v>
      </c>
      <c r="L18" s="12">
        <f>J18-K18/$C$4</f>
        <v>0.00160908689112266</v>
      </c>
      <c r="M18" s="26">
        <f>1-(K18/J18/$C$4)^0.5</f>
        <v>0.518351251993902</v>
      </c>
      <c r="N18" s="27">
        <f>1-(K18/$C$4)/(0.7*L18*(1/0.5-1)+K18/$C$4)</f>
        <v>0.698561816237247</v>
      </c>
      <c r="O18" s="28">
        <f t="shared" si="5"/>
        <v>15.2162816557506</v>
      </c>
      <c r="P18" s="29">
        <f t="shared" si="6"/>
        <v>0.00160908689112266</v>
      </c>
      <c r="Q18" s="32">
        <f t="shared" si="7"/>
        <v>0.518351251993902</v>
      </c>
      <c r="R18" s="33">
        <f t="shared" si="8"/>
        <v>0.00160908689112266</v>
      </c>
      <c r="S18" s="34">
        <f>L18-Q18*O18/((1-Q18)*$C$4)</f>
        <v>0.00108601103553596</v>
      </c>
    </row>
    <row r="19" ht="16.5" customHeight="1" spans="1:19">
      <c r="A19" s="12">
        <f>(700+172*$D$4^0.5)*10^(-6)</f>
        <v>0.00139821468050096</v>
      </c>
      <c r="B19" s="13">
        <f>0.157*$D$4^0.785-0.905</f>
        <v>0.511389449207738</v>
      </c>
      <c r="C19" s="12">
        <f t="shared" si="9"/>
        <v>0.00223714348880154</v>
      </c>
      <c r="D19" s="14">
        <v>1.6</v>
      </c>
      <c r="E19" s="13">
        <f>$D$4/$C$4/$A$7</f>
        <v>0.376452009597794</v>
      </c>
      <c r="F19" s="13">
        <f>$C$4*$A$7/($C$4*$A$7-$D$4)</f>
        <v>1.60372580040707</v>
      </c>
      <c r="G19" s="13">
        <f t="shared" si="10"/>
        <v>0.788996150980776</v>
      </c>
      <c r="H19" s="12">
        <f t="shared" si="2"/>
        <v>0.00223714348880154</v>
      </c>
      <c r="I19" s="25">
        <f>(1-G19)*$C$4*H19</f>
        <v>14.7782088015278</v>
      </c>
      <c r="J19" s="12">
        <f t="shared" si="3"/>
        <v>0.00223464480921607</v>
      </c>
      <c r="K19" s="25">
        <f t="shared" si="4"/>
        <v>14.8112697751243</v>
      </c>
      <c r="L19" s="12">
        <f>J19-K19/$C$4</f>
        <v>0.00176154288788825</v>
      </c>
      <c r="M19" s="26">
        <f>1-(K19/J19/$C$4)^0.5</f>
        <v>0.539877888201828</v>
      </c>
      <c r="N19" s="27">
        <f>1-(K19/$C$4)/(0.7*L19*(1/0.5-1)+K19/$C$4)</f>
        <v>0.722713088536349</v>
      </c>
      <c r="O19" s="28">
        <f t="shared" si="5"/>
        <v>14.8112697751243</v>
      </c>
      <c r="P19" s="29">
        <f t="shared" si="6"/>
        <v>0.00176154288788825</v>
      </c>
      <c r="Q19" s="32">
        <f t="shared" si="7"/>
        <v>0.539877888201828</v>
      </c>
      <c r="R19" s="33">
        <f t="shared" si="8"/>
        <v>0.00176154288788825</v>
      </c>
      <c r="S19" s="34">
        <f>L19-Q19*O19/((1-Q19)*$C$4)</f>
        <v>0.00120643532048075</v>
      </c>
    </row>
    <row r="20" ht="16.5" customHeight="1" spans="1:19">
      <c r="A20" s="12">
        <f>(700+172*$D$4^0.5)*10^(-6)</f>
        <v>0.00139821468050096</v>
      </c>
      <c r="B20" s="13">
        <f>0.157*$D$4^0.785-0.905</f>
        <v>0.511389449207738</v>
      </c>
      <c r="C20" s="12">
        <f t="shared" si="9"/>
        <v>0.00237696495685163</v>
      </c>
      <c r="D20" s="14">
        <v>1.7</v>
      </c>
      <c r="E20" s="13">
        <f>$D$4/$C$4/$A$7</f>
        <v>0.376452009597794</v>
      </c>
      <c r="F20" s="13">
        <f>$C$4*$A$7/($C$4*$A$7-$D$4)</f>
        <v>1.60372580040707</v>
      </c>
      <c r="G20" s="13">
        <f t="shared" si="10"/>
        <v>0.807005173132857</v>
      </c>
      <c r="H20" s="12">
        <f t="shared" si="2"/>
        <v>0.00237696495685163</v>
      </c>
      <c r="I20" s="25">
        <f>(1-G20)*$C$4*H20</f>
        <v>14.3617058584905</v>
      </c>
      <c r="J20" s="12">
        <f t="shared" si="3"/>
        <v>0.00237414444427082</v>
      </c>
      <c r="K20" s="25">
        <f t="shared" si="4"/>
        <v>14.3958431300367</v>
      </c>
      <c r="L20" s="12">
        <f>J20-K20/$C$4</f>
        <v>0.0019143120904376</v>
      </c>
      <c r="M20" s="26">
        <f>1-(K20/J20/$C$4)^0.5</f>
        <v>0.559905244284054</v>
      </c>
      <c r="N20" s="27">
        <f>1-(K20/$C$4)/(0.7*L20*(1/0.5-1)+K20/$C$4)</f>
        <v>0.744516406885311</v>
      </c>
      <c r="O20" s="28">
        <f t="shared" si="5"/>
        <v>14.3958431300367</v>
      </c>
      <c r="P20" s="29">
        <f t="shared" si="6"/>
        <v>0.0019143120904376</v>
      </c>
      <c r="Q20" s="32">
        <f t="shared" si="7"/>
        <v>0.559905244284054</v>
      </c>
      <c r="R20" s="33">
        <f t="shared" si="8"/>
        <v>0.0019143120904376</v>
      </c>
      <c r="S20" s="34">
        <f>L20-Q20*O20/((1-Q20)*$C$4)</f>
        <v>0.00132929592503508</v>
      </c>
    </row>
    <row r="21" ht="16.5" customHeight="1" spans="1:19">
      <c r="A21" s="12">
        <f>(700+172*$D$4^0.5)*10^(-6)</f>
        <v>0.00139821468050096</v>
      </c>
      <c r="B21" s="13">
        <f>0.157*$D$4^0.785-0.905</f>
        <v>0.511389449207738</v>
      </c>
      <c r="C21" s="12">
        <f t="shared" si="9"/>
        <v>0.00251678642490173</v>
      </c>
      <c r="D21" s="14">
        <v>1.8</v>
      </c>
      <c r="E21" s="13">
        <f>$D$4/$C$4/$A$7</f>
        <v>0.376452009597794</v>
      </c>
      <c r="F21" s="13">
        <f>$C$4*$A$7/($C$4*$A$7-$D$4)</f>
        <v>1.60372580040707</v>
      </c>
      <c r="G21" s="13">
        <f t="shared" si="10"/>
        <v>0.823036754385212</v>
      </c>
      <c r="H21" s="12">
        <f t="shared" si="2"/>
        <v>0.00251678642490173</v>
      </c>
      <c r="I21" s="25">
        <f>(1-G21)*$C$4*H21</f>
        <v>13.9433464451151</v>
      </c>
      <c r="J21" s="12">
        <f t="shared" si="3"/>
        <v>0.00251362462189166</v>
      </c>
      <c r="K21" s="25">
        <f t="shared" si="4"/>
        <v>13.9784388701659</v>
      </c>
      <c r="L21" s="12">
        <f>J21-K21/$C$4</f>
        <v>0.00206712500457013</v>
      </c>
      <c r="M21" s="26">
        <f>1-(K21/J21/$C$4)^0.5</f>
        <v>0.578536145571155</v>
      </c>
      <c r="N21" s="27">
        <f>1-(K21/$C$4)/(0.7*L21*(1/0.5-1)+K21/$C$4)</f>
        <v>0.764191890991705</v>
      </c>
      <c r="O21" s="28">
        <f t="shared" si="5"/>
        <v>13.9784388701659</v>
      </c>
      <c r="P21" s="29">
        <f t="shared" si="6"/>
        <v>0.00206712500457013</v>
      </c>
      <c r="Q21" s="32">
        <f t="shared" si="7"/>
        <v>0.578536145571155</v>
      </c>
      <c r="R21" s="33">
        <f t="shared" si="8"/>
        <v>0.00206712500457013</v>
      </c>
      <c r="S21" s="34">
        <f>L21-Q21*O21/((1-Q21)*$C$4)</f>
        <v>0.00145422270016195</v>
      </c>
    </row>
    <row r="22" ht="16.5" customHeight="1" spans="1:19">
      <c r="A22" s="12">
        <f>(700+172*$D$4^0.5)*10^(-6)</f>
        <v>0.00139821468050096</v>
      </c>
      <c r="B22" s="13">
        <f>0.157*$D$4^0.785-0.905</f>
        <v>0.511389449207738</v>
      </c>
      <c r="C22" s="12">
        <f t="shared" si="9"/>
        <v>0.00265660789295182</v>
      </c>
      <c r="D22" s="14">
        <v>1.9</v>
      </c>
      <c r="E22" s="13">
        <f>$D$4/$C$4/$A$7</f>
        <v>0.376452009597794</v>
      </c>
      <c r="F22" s="13">
        <f>$C$4*$A$7/($C$4*$A$7-$D$4)</f>
        <v>1.60372580040707</v>
      </c>
      <c r="G22" s="13">
        <f t="shared" si="10"/>
        <v>0.837331315766934</v>
      </c>
      <c r="H22" s="12">
        <f t="shared" si="2"/>
        <v>0.00265660789295182</v>
      </c>
      <c r="I22" s="25">
        <f>(1-G22)*$C$4*H22</f>
        <v>13.5291026836</v>
      </c>
      <c r="J22" s="12">
        <f t="shared" si="3"/>
        <v>0.00265308534750547</v>
      </c>
      <c r="K22" s="25">
        <f t="shared" si="4"/>
        <v>13.5650442045738</v>
      </c>
      <c r="L22" s="12">
        <f>J22-K22/$C$4</f>
        <v>0.00221979039214255</v>
      </c>
      <c r="M22" s="26">
        <f>1-(K22/J22/$C$4)^0.5</f>
        <v>0.59587454568679</v>
      </c>
      <c r="N22" s="27">
        <f>1-(K22/$C$4)/(0.7*L22*(1/0.5-1)+K22/$C$4)</f>
        <v>0.781951366862624</v>
      </c>
      <c r="O22" s="28">
        <f t="shared" si="5"/>
        <v>13.5650442045738</v>
      </c>
      <c r="P22" s="29">
        <f t="shared" si="6"/>
        <v>0.00221979039214255</v>
      </c>
      <c r="Q22" s="32">
        <f t="shared" si="7"/>
        <v>0.59587454568679</v>
      </c>
      <c r="R22" s="33">
        <f t="shared" si="8"/>
        <v>0.00221979039214255</v>
      </c>
      <c r="S22" s="34">
        <f>L22-Q22*O22/((1-Q22)*$C$4)</f>
        <v>0.0015809060261131</v>
      </c>
    </row>
    <row r="23" ht="16.5" customHeight="1" spans="1:19">
      <c r="A23" s="12">
        <f>(700+172*$D$4^0.5)*10^(-6)</f>
        <v>0.00139821468050096</v>
      </c>
      <c r="B23" s="13">
        <f>0.157*$D$4^0.785-0.905</f>
        <v>0.511389449207738</v>
      </c>
      <c r="C23" s="12">
        <f t="shared" si="9"/>
        <v>0.00279642936100192</v>
      </c>
      <c r="D23" s="14">
        <v>2</v>
      </c>
      <c r="E23" s="13">
        <f>$D$4/$C$4/$A$7</f>
        <v>0.376452009597794</v>
      </c>
      <c r="F23" s="13">
        <f>$C$4*$A$7/($C$4*$A$7-$D$4)</f>
        <v>1.60372580040707</v>
      </c>
      <c r="G23" s="13">
        <f t="shared" si="10"/>
        <v>0.850102097977456</v>
      </c>
      <c r="H23" s="12">
        <f t="shared" si="2"/>
        <v>0.00279642936100192</v>
      </c>
      <c r="I23" s="25">
        <f>(1-G23)*$C$4*H23</f>
        <v>13.1231166238009</v>
      </c>
      <c r="J23" s="12">
        <f t="shared" si="3"/>
        <v>0.00279252662653751</v>
      </c>
      <c r="K23" s="25">
        <f t="shared" si="4"/>
        <v>13.1598144924355</v>
      </c>
      <c r="L23" s="12">
        <f>J23-K23/$C$4</f>
        <v>0.00237217552800135</v>
      </c>
      <c r="M23" s="26">
        <f>1-(K23/J23/$C$4)^0.5</f>
        <v>0.612021703382703</v>
      </c>
      <c r="N23" s="27">
        <f>1-(K23/$C$4)/(0.7*L23*(1/0.5-1)+K23/$C$4)</f>
        <v>0.79799300439494</v>
      </c>
      <c r="O23" s="28">
        <f t="shared" si="5"/>
        <v>13.1598144924355</v>
      </c>
      <c r="P23" s="29">
        <f t="shared" si="6"/>
        <v>0.00237217552800135</v>
      </c>
      <c r="Q23" s="32">
        <f t="shared" si="7"/>
        <v>0.612021703382703</v>
      </c>
      <c r="R23" s="33">
        <f t="shared" si="8"/>
        <v>0.00237217552800135</v>
      </c>
      <c r="S23" s="34">
        <f>L23-Q23*O23/((1-Q23)*$C$4)</f>
        <v>0.00170908690271504</v>
      </c>
    </row>
    <row r="24" ht="16.5" customHeight="1" spans="1:19">
      <c r="A24" s="12">
        <f>(700+172*$D$4^0.5)*10^(-6)</f>
        <v>0.00139821468050096</v>
      </c>
      <c r="B24" s="13">
        <f>0.157*$D$4^0.785-0.905</f>
        <v>0.511389449207738</v>
      </c>
      <c r="C24" s="12">
        <f t="shared" si="9"/>
        <v>0.00293625082905202</v>
      </c>
      <c r="D24" s="14">
        <v>2.1</v>
      </c>
      <c r="E24" s="13">
        <f>$D$4/$C$4/$A$7</f>
        <v>0.376452009597794</v>
      </c>
      <c r="F24" s="13">
        <f>$C$4*$A$7/($C$4*$A$7-$D$4)</f>
        <v>1.60372580040707</v>
      </c>
      <c r="G24" s="13">
        <f t="shared" si="10"/>
        <v>0.861536483717947</v>
      </c>
      <c r="H24" s="12">
        <f t="shared" si="2"/>
        <v>0.00293625082905202</v>
      </c>
      <c r="I24" s="25">
        <f>(1-G24)*$C$4*H24</f>
        <v>12.7281735780366</v>
      </c>
      <c r="J24" s="12">
        <f t="shared" si="3"/>
        <v>0.00293194846441012</v>
      </c>
      <c r="K24" s="25">
        <f t="shared" si="4"/>
        <v>12.7655466882574</v>
      </c>
      <c r="L24" s="12">
        <f>J24-K24/$C$4</f>
        <v>0.00252419107718342</v>
      </c>
      <c r="M24" s="26">
        <f>1-(K24/J24/$C$4)^0.5</f>
        <v>0.627073922924146</v>
      </c>
      <c r="N24" s="27">
        <f>1-(K24/$C$4)/(0.7*L24*(1/0.5-1)+K24/$C$4)</f>
        <v>0.812498713269521</v>
      </c>
      <c r="O24" s="28">
        <f t="shared" si="5"/>
        <v>12.7655466882574</v>
      </c>
      <c r="P24" s="29">
        <f t="shared" si="6"/>
        <v>0.00252419107718342</v>
      </c>
      <c r="Q24" s="32">
        <f t="shared" si="7"/>
        <v>0.627073922924146</v>
      </c>
      <c r="R24" s="33">
        <f t="shared" si="8"/>
        <v>0.00252419107718342</v>
      </c>
      <c r="S24" s="34">
        <f>L24-Q24*O24/((1-Q24)*$C$4)</f>
        <v>0.00183854842538908</v>
      </c>
    </row>
    <row r="25" ht="16.5" customHeight="1" spans="1:19">
      <c r="A25" s="12">
        <f>(700+172*$D$4^0.5)*10^(-6)</f>
        <v>0.00139821468050096</v>
      </c>
      <c r="B25" s="13">
        <f>0.157*$D$4^0.785-0.905</f>
        <v>0.511389449207738</v>
      </c>
      <c r="C25" s="12">
        <f t="shared" si="9"/>
        <v>0.00307607229710211</v>
      </c>
      <c r="D25" s="14">
        <v>2.2</v>
      </c>
      <c r="E25" s="13">
        <f>$D$4/$C$4/$A$7</f>
        <v>0.376452009597794</v>
      </c>
      <c r="F25" s="13">
        <f>$C$4*$A$7/($C$4*$A$7-$D$4)</f>
        <v>1.60372580040707</v>
      </c>
      <c r="G25" s="13">
        <f t="shared" si="10"/>
        <v>0.871798152105653</v>
      </c>
      <c r="H25" s="12">
        <f t="shared" si="2"/>
        <v>0.00307607229710211</v>
      </c>
      <c r="I25" s="25">
        <f>(1-G25)*$C$4*H25</f>
        <v>12.3460605950068</v>
      </c>
      <c r="J25" s="12">
        <f t="shared" si="3"/>
        <v>0.0030713508665436</v>
      </c>
      <c r="K25" s="25">
        <f t="shared" si="4"/>
        <v>12.3840379699814</v>
      </c>
      <c r="L25" s="12">
        <f>J25-K25/$C$4</f>
        <v>0.0026757796396097</v>
      </c>
      <c r="M25" s="26">
        <f>1-(K25/J25/$C$4)^0.5</f>
        <v>0.641121343047909</v>
      </c>
      <c r="N25" s="27">
        <f>1-(K25/$C$4)/(0.7*L25*(1/0.5-1)+K25/$C$4)</f>
        <v>0.825633312563457</v>
      </c>
      <c r="O25" s="28">
        <f t="shared" si="5"/>
        <v>12.3840379699814</v>
      </c>
      <c r="P25" s="29">
        <f t="shared" si="6"/>
        <v>0.0026757796396097</v>
      </c>
      <c r="Q25" s="32">
        <f t="shared" si="7"/>
        <v>0.641121343047909</v>
      </c>
      <c r="R25" s="33">
        <f t="shared" si="8"/>
        <v>0.0026757796396097</v>
      </c>
      <c r="S25" s="34">
        <f>L25-Q25*O25/((1-Q25)*$C$4)</f>
        <v>0.00196910859252979</v>
      </c>
    </row>
    <row r="26" ht="16.5" customHeight="1" spans="1:19">
      <c r="A26" s="12">
        <f>(700+172*$D$4^0.5)*10^(-6)</f>
        <v>0.00139821468050096</v>
      </c>
      <c r="B26" s="13">
        <f>0.157*$D$4^0.785-0.905</f>
        <v>0.511389449207738</v>
      </c>
      <c r="C26" s="12">
        <f t="shared" si="9"/>
        <v>0.00321589376515221</v>
      </c>
      <c r="D26" s="14">
        <v>2.3</v>
      </c>
      <c r="E26" s="13">
        <f>$D$4/$C$4/$A$7</f>
        <v>0.376452009597794</v>
      </c>
      <c r="F26" s="13">
        <f>$C$4*$A$7/($C$4*$A$7-$D$4)</f>
        <v>1.60372580040707</v>
      </c>
      <c r="G26" s="13">
        <f t="shared" si="10"/>
        <v>0.881029556004262</v>
      </c>
      <c r="H26" s="12">
        <f t="shared" si="2"/>
        <v>0.00321589376515221</v>
      </c>
      <c r="I26" s="25">
        <f>(1-G26)*$C$4*H26</f>
        <v>11.9778358390407</v>
      </c>
      <c r="J26" s="12">
        <f t="shared" si="3"/>
        <v>0.00321073383835595</v>
      </c>
      <c r="K26" s="25">
        <f t="shared" si="4"/>
        <v>12.0163552866355</v>
      </c>
      <c r="L26" s="12">
        <f>J26-K26/$C$4</f>
        <v>0.00282690714018772</v>
      </c>
      <c r="M26" s="26">
        <f>1-(K26/J26/$C$4)^0.5</f>
        <v>0.654247413665776</v>
      </c>
      <c r="N26" s="27">
        <f>1-(K26/$C$4)/(0.7*L26*(1/0.5-1)+K26/$C$4)</f>
        <v>0.837544791635054</v>
      </c>
      <c r="O26" s="28">
        <f t="shared" si="5"/>
        <v>12.0163552866355</v>
      </c>
      <c r="P26" s="29">
        <f t="shared" si="6"/>
        <v>0.00282690714018772</v>
      </c>
      <c r="Q26" s="32">
        <f t="shared" si="7"/>
        <v>0.654247413665776</v>
      </c>
      <c r="R26" s="33">
        <f t="shared" si="8"/>
        <v>0.00282690714018772</v>
      </c>
      <c r="S26" s="34">
        <f>L26-Q26*O26/((1-Q26)*$C$4)</f>
        <v>0.00210061430971357</v>
      </c>
    </row>
    <row r="27" ht="16.5" customHeight="1" spans="1:19">
      <c r="A27" s="12">
        <f>(700+172*$D$4^0.5)*10^(-6)</f>
        <v>0.00139821468050096</v>
      </c>
      <c r="B27" s="13">
        <f>0.157*$D$4^0.785-0.905</f>
        <v>0.511389449207738</v>
      </c>
      <c r="C27" s="12">
        <f t="shared" si="9"/>
        <v>0.0033557152332023</v>
      </c>
      <c r="D27" s="14">
        <v>2.4</v>
      </c>
      <c r="E27" s="13">
        <f>$D$4/$C$4/$A$7</f>
        <v>0.376452009597794</v>
      </c>
      <c r="F27" s="13">
        <f>$C$4*$A$7/($C$4*$A$7-$D$4)</f>
        <v>1.60372580040707</v>
      </c>
      <c r="G27" s="13">
        <f t="shared" si="10"/>
        <v>0.889354428094648</v>
      </c>
      <c r="H27" s="12">
        <f t="shared" si="2"/>
        <v>0.0033557152332023</v>
      </c>
      <c r="I27" s="25">
        <f>(1-G27)*$C$4*H27</f>
        <v>11.6240298851096</v>
      </c>
      <c r="J27" s="12">
        <f t="shared" si="3"/>
        <v>0.00335009738526273</v>
      </c>
      <c r="K27" s="25">
        <f t="shared" si="4"/>
        <v>11.6630368192663</v>
      </c>
      <c r="L27" s="12">
        <f>J27-K27/$C$4</f>
        <v>0.00297755639374158</v>
      </c>
      <c r="M27" s="26">
        <f>1-(K27/J27/$C$4)^0.5</f>
        <v>0.666528811697001</v>
      </c>
      <c r="N27" s="27">
        <f>1-(K27/$C$4)/(0.7*L27*(1/0.5-1)+K27/$C$4)</f>
        <v>0.848365202034155</v>
      </c>
      <c r="O27" s="28">
        <f t="shared" si="5"/>
        <v>11.6630368192663</v>
      </c>
      <c r="P27" s="29">
        <f t="shared" si="6"/>
        <v>0.00297755639374158</v>
      </c>
      <c r="Q27" s="32">
        <f t="shared" si="7"/>
        <v>0.666528811697001</v>
      </c>
      <c r="R27" s="33">
        <f t="shared" si="8"/>
        <v>0.00297755639374158</v>
      </c>
      <c r="S27" s="34">
        <f>L27-Q27*O27/((1-Q27)*$C$4)</f>
        <v>0.0022329364292684</v>
      </c>
    </row>
    <row r="28" ht="15.75" customHeight="1" spans="1:19">
      <c r="A28" s="12">
        <f>(700+172*$D$4^0.5)*10^(-6)</f>
        <v>0.00139821468050096</v>
      </c>
      <c r="B28" s="13">
        <f>0.157*$D$4^0.785-0.905</f>
        <v>0.511389449207738</v>
      </c>
      <c r="C28" s="12">
        <f t="shared" si="9"/>
        <v>0.0034955367012524</v>
      </c>
      <c r="D28" s="14">
        <v>2.5</v>
      </c>
      <c r="E28" s="13">
        <f>$D$4/$C$4/$A$7</f>
        <v>0.376452009597794</v>
      </c>
      <c r="F28" s="13">
        <f>$C$4*$A$7/($C$4*$A$7-$D$4)</f>
        <v>1.60372580040707</v>
      </c>
      <c r="G28" s="13">
        <f t="shared" si="10"/>
        <v>0.896880156249187</v>
      </c>
      <c r="H28" s="12">
        <f t="shared" si="2"/>
        <v>0.0034955367012524</v>
      </c>
      <c r="I28" s="25">
        <f>(1-G28)*$C$4*H28</f>
        <v>11.2847954967251</v>
      </c>
      <c r="J28" s="12">
        <f t="shared" si="3"/>
        <v>0.00348944151267785</v>
      </c>
      <c r="K28" s="25">
        <f t="shared" si="4"/>
        <v>11.32424191355</v>
      </c>
      <c r="L28" s="12">
        <f>J28-K28/$C$4</f>
        <v>0.00312772231586196</v>
      </c>
      <c r="M28" s="26">
        <f>1-(K28/J28/$C$4)^0.5</f>
        <v>0.678035627181303</v>
      </c>
      <c r="N28" s="27">
        <f>1-(K28/$C$4)/(0.7*L28*(1/0.5-1)+K28/$C$4)</f>
        <v>0.858211878040951</v>
      </c>
      <c r="O28" s="28">
        <f t="shared" si="5"/>
        <v>11.32424191355</v>
      </c>
      <c r="P28" s="29">
        <f t="shared" si="6"/>
        <v>0.00312772231586196</v>
      </c>
      <c r="Q28" s="32">
        <f t="shared" si="7"/>
        <v>0.678035627181303</v>
      </c>
      <c r="R28" s="33">
        <f t="shared" si="8"/>
        <v>0.00312772231586196</v>
      </c>
      <c r="S28" s="34">
        <f>L28-Q28*O28/((1-Q28)*$C$4)</f>
        <v>0.002365965664561</v>
      </c>
    </row>
    <row r="29" ht="15.75" customHeight="1" spans="1:19">
      <c r="A29" s="12">
        <f>(700+172*$D$4^0.5)*10^(-6)</f>
        <v>0.00139821468050096</v>
      </c>
      <c r="B29" s="13">
        <f>0.157*$D$4^0.785-0.905</f>
        <v>0.511389449207738</v>
      </c>
      <c r="C29" s="12">
        <f t="shared" si="9"/>
        <v>0.00363535816930249</v>
      </c>
      <c r="D29" s="14">
        <v>2.6</v>
      </c>
      <c r="E29" s="13">
        <f>$D$4/$C$4/$A$7</f>
        <v>0.376452009597794</v>
      </c>
      <c r="F29" s="13">
        <f>$C$4*$A$7/($C$4*$A$7-$D$4)</f>
        <v>1.60372580040707</v>
      </c>
      <c r="G29" s="13">
        <f t="shared" si="10"/>
        <v>0.903699951021791</v>
      </c>
      <c r="H29" s="12">
        <f t="shared" si="2"/>
        <v>0.00363535816930249</v>
      </c>
      <c r="I29" s="25">
        <f>(1-G29)*$C$4*H29</f>
        <v>10.9600186762942</v>
      </c>
      <c r="J29" s="12">
        <f t="shared" si="3"/>
        <v>0.00362876622601234</v>
      </c>
      <c r="K29" s="25">
        <f t="shared" si="4"/>
        <v>10.9998622697248</v>
      </c>
      <c r="L29" s="12">
        <f>J29-K29/$C$4</f>
        <v>0.00327740837127335</v>
      </c>
      <c r="M29" s="26">
        <f>1-(K29/J29/$C$4)^0.5</f>
        <v>0.688831706586721</v>
      </c>
      <c r="N29" s="27">
        <f>1-(K29/$C$4)/(0.7*L29*(1/0.5-1)+K29/$C$4)</f>
        <v>0.867188792687144</v>
      </c>
      <c r="O29" s="28">
        <f t="shared" si="5"/>
        <v>10.9998622697248</v>
      </c>
      <c r="P29" s="29">
        <f t="shared" si="6"/>
        <v>0.00327740837127335</v>
      </c>
      <c r="Q29" s="32">
        <f t="shared" si="7"/>
        <v>0.688831706586721</v>
      </c>
      <c r="R29" s="33">
        <f t="shared" si="8"/>
        <v>0.00327740837127335</v>
      </c>
      <c r="S29" s="34">
        <f>L29-Q29*O29/((1-Q29)*$C$4)</f>
        <v>0.00249960923226833</v>
      </c>
    </row>
    <row r="30" ht="16.5" customHeight="1" spans="1:19">
      <c r="A30" s="12">
        <f>(700+172*$D$4^0.5)*10^(-6)</f>
        <v>0.00139821468050096</v>
      </c>
      <c r="B30" s="13">
        <f>0.157*$D$4^0.785-0.905</f>
        <v>0.511389449207738</v>
      </c>
      <c r="C30" s="12">
        <f t="shared" si="9"/>
        <v>0.00377517963735259</v>
      </c>
      <c r="D30" s="14">
        <v>2.7</v>
      </c>
      <c r="E30" s="13">
        <f>$D$4/$C$4/$A$7</f>
        <v>0.376452009597794</v>
      </c>
      <c r="F30" s="13">
        <f>$C$4*$A$7/($C$4*$A$7-$D$4)</f>
        <v>1.60372580040707</v>
      </c>
      <c r="G30" s="13">
        <f t="shared" si="10"/>
        <v>0.9098947767474</v>
      </c>
      <c r="H30" s="12">
        <f t="shared" si="2"/>
        <v>0.00377517963735259</v>
      </c>
      <c r="I30" s="25">
        <f>(1-G30)*$C$4*H30</f>
        <v>10.6494007269195</v>
      </c>
      <c r="J30" s="12">
        <f t="shared" si="3"/>
        <v>0.00376807153067515</v>
      </c>
      <c r="K30" s="25">
        <f t="shared" si="4"/>
        <v>10.6896041276938</v>
      </c>
      <c r="L30" s="12">
        <f>J30-K30/$C$4</f>
        <v>0.00342662394867652</v>
      </c>
      <c r="M30" s="26">
        <f>1-(K30/J30/$C$4)^0.5</f>
        <v>0.698975078720898</v>
      </c>
      <c r="N30" s="27">
        <f>1-(K30/$C$4)/(0.7*L30*(1/0.5-1)+K30/$C$4)</f>
        <v>0.87538793012409</v>
      </c>
      <c r="O30" s="28">
        <f t="shared" si="5"/>
        <v>10.6896041276938</v>
      </c>
      <c r="P30" s="29">
        <f t="shared" si="6"/>
        <v>0.00342662394867652</v>
      </c>
      <c r="Q30" s="32">
        <f t="shared" si="7"/>
        <v>0.698975078720898</v>
      </c>
      <c r="R30" s="33">
        <f t="shared" si="8"/>
        <v>0.00342662394867652</v>
      </c>
      <c r="S30" s="34">
        <f>L30-Q30*O30/((1-Q30)*$C$4)</f>
        <v>0.00263378809477964</v>
      </c>
    </row>
    <row r="31" ht="16.5" customHeight="1" spans="1:19">
      <c r="A31" s="12">
        <f>(700+172*$D$4^0.5)*10^(-6)</f>
        <v>0.00139821468050096</v>
      </c>
      <c r="B31" s="13">
        <f>0.157*$D$4^0.785-0.905</f>
        <v>0.511389449207738</v>
      </c>
      <c r="C31" s="12">
        <f t="shared" si="9"/>
        <v>0.00391500110540269</v>
      </c>
      <c r="D31" s="14">
        <v>2.8</v>
      </c>
      <c r="E31" s="13">
        <f>$D$4/$C$4/$A$7</f>
        <v>0.376452009597794</v>
      </c>
      <c r="F31" s="13">
        <f>$C$4*$A$7/($C$4*$A$7-$D$4)</f>
        <v>1.60372580040707</v>
      </c>
      <c r="G31" s="13">
        <f t="shared" si="10"/>
        <v>0.915535045377432</v>
      </c>
      <c r="H31" s="12">
        <f t="shared" si="2"/>
        <v>0.00391500110540269</v>
      </c>
      <c r="I31" s="25">
        <f>(1-G31)*$C$4*H31</f>
        <v>10.3525186760587</v>
      </c>
      <c r="J31" s="12">
        <f t="shared" si="3"/>
        <v>0.00390735743207301</v>
      </c>
      <c r="K31" s="25">
        <f t="shared" si="4"/>
        <v>10.3930487981191</v>
      </c>
      <c r="L31" s="12">
        <f>J31-K31/$C$4</f>
        <v>0.00357538242726269</v>
      </c>
      <c r="M31" s="26">
        <f>1-(K31/J31/$C$4)^0.5</f>
        <v>0.708518414955084</v>
      </c>
      <c r="N31" s="27">
        <f>1-(K31/$C$4)/(0.7*L31*(1/0.5-1)+K31/$C$4)</f>
        <v>0.882890604373273</v>
      </c>
      <c r="O31" s="28">
        <f t="shared" si="5"/>
        <v>10.3930487981191</v>
      </c>
      <c r="P31" s="29">
        <f t="shared" si="6"/>
        <v>0.00357538242726269</v>
      </c>
      <c r="Q31" s="32">
        <f t="shared" si="7"/>
        <v>0.708518414955084</v>
      </c>
      <c r="R31" s="33">
        <f t="shared" si="8"/>
        <v>0.00357538242726269</v>
      </c>
      <c r="S31" s="34">
        <f>L31-Q31*O31/((1-Q31)*$C$4)</f>
        <v>0.00276843469443534</v>
      </c>
    </row>
    <row r="32" ht="16.5" customHeight="1" spans="1:19">
      <c r="A32" s="12">
        <f>(700+172*$D$4^0.5)*10^(-6)</f>
        <v>0.00139821468050096</v>
      </c>
      <c r="B32" s="13">
        <f>0.157*$D$4^0.785-0.905</f>
        <v>0.511389449207738</v>
      </c>
      <c r="C32" s="12">
        <f t="shared" si="9"/>
        <v>0.00405482257345278</v>
      </c>
      <c r="D32" s="14">
        <v>2.9</v>
      </c>
      <c r="E32" s="13">
        <f>$D$4/$C$4/$A$7</f>
        <v>0.376452009597794</v>
      </c>
      <c r="F32" s="13">
        <f>$C$4*$A$7/($C$4*$A$7-$D$4)</f>
        <v>1.60372580040707</v>
      </c>
      <c r="G32" s="13">
        <f t="shared" si="10"/>
        <v>0.920682086867171</v>
      </c>
      <c r="H32" s="12">
        <f t="shared" si="2"/>
        <v>0.00405482257345278</v>
      </c>
      <c r="I32" s="25">
        <f>(1-G32)*$C$4*H32</f>
        <v>10.068869577314</v>
      </c>
      <c r="J32" s="12">
        <f t="shared" si="3"/>
        <v>0.00404662393561014</v>
      </c>
      <c r="K32" s="25">
        <f t="shared" si="4"/>
        <v>10.1096970569653</v>
      </c>
      <c r="L32" s="12">
        <f>J32-K32/$C$4</f>
        <v>0.00372369975866175</v>
      </c>
      <c r="M32" s="26">
        <f>1-(K32/J32/$C$4)^0.5</f>
        <v>0.717509493274683</v>
      </c>
      <c r="N32" s="27">
        <f>1-(K32/$C$4)/(0.7*L32*(1/0.5-1)+K32/$C$4)</f>
        <v>0.889768686524369</v>
      </c>
      <c r="O32" s="28">
        <f t="shared" si="5"/>
        <v>10.1096970569653</v>
      </c>
      <c r="P32" s="29">
        <f t="shared" si="6"/>
        <v>0.00372369975866175</v>
      </c>
      <c r="Q32" s="32">
        <f t="shared" si="7"/>
        <v>0.717509493274683</v>
      </c>
      <c r="R32" s="33">
        <f t="shared" si="8"/>
        <v>0.00372369975866175</v>
      </c>
      <c r="S32" s="34">
        <f>L32-Q32*O32/((1-Q32)*$C$4)</f>
        <v>0.00290349108951283</v>
      </c>
    </row>
    <row r="33" ht="16.5" customHeight="1" spans="1:19">
      <c r="A33" s="12">
        <f>(700+172*$D$4^0.5)*10^(-6)</f>
        <v>0.00139821468050096</v>
      </c>
      <c r="B33" s="13">
        <f>0.157*$D$4^0.785-0.905</f>
        <v>0.511389449207738</v>
      </c>
      <c r="C33" s="12">
        <f t="shared" si="9"/>
        <v>0.00419464404150288</v>
      </c>
      <c r="D33" s="14">
        <v>3</v>
      </c>
      <c r="E33" s="13">
        <f>$D$4/$C$4/$A$7</f>
        <v>0.376452009597794</v>
      </c>
      <c r="F33" s="13">
        <f>$C$4*$A$7/($C$4*$A$7-$D$4)</f>
        <v>1.60372580040707</v>
      </c>
      <c r="G33" s="13">
        <f t="shared" si="10"/>
        <v>0.925389416838265</v>
      </c>
      <c r="H33" s="12">
        <f t="shared" si="2"/>
        <v>0.00419464404150288</v>
      </c>
      <c r="I33" s="25">
        <f>(1-G33)*$C$4*H33</f>
        <v>9.79790281575097</v>
      </c>
      <c r="J33" s="12">
        <f t="shared" si="3"/>
        <v>0.00418587104668916</v>
      </c>
      <c r="K33" s="25">
        <f t="shared" si="4"/>
        <v>9.83900153041628</v>
      </c>
      <c r="L33" s="12">
        <f>J33-K33/$C$4</f>
        <v>0.00387159343250343</v>
      </c>
      <c r="M33" s="26">
        <f>1-(K33/J33/$C$4)^0.5</f>
        <v>0.72599164760938</v>
      </c>
      <c r="N33" s="27">
        <f>1-(K33/$C$4)/(0.7*L33*(1/0.5-1)+K33/$C$4)</f>
        <v>0.89608572284567</v>
      </c>
      <c r="O33" s="28">
        <f t="shared" si="5"/>
        <v>9.83900153041628</v>
      </c>
      <c r="P33" s="29">
        <f t="shared" si="6"/>
        <v>0.00387159343250343</v>
      </c>
      <c r="Q33" s="32">
        <f t="shared" si="7"/>
        <v>0.72599164760938</v>
      </c>
      <c r="R33" s="33">
        <f t="shared" si="8"/>
        <v>0.00387159343250343</v>
      </c>
      <c r="S33" s="34">
        <f>L33-Q33*O33/((1-Q33)*$C$4)</f>
        <v>0.00303890741786626</v>
      </c>
    </row>
    <row r="34" ht="16.5" customHeight="1" spans="1:19">
      <c r="A34" s="12">
        <f>(700+172*$D$4^0.5)*10^(-6)</f>
        <v>0.00139821468050096</v>
      </c>
      <c r="B34" s="13">
        <f>0.157*$D$4^0.785-0.905</f>
        <v>0.511389449207738</v>
      </c>
      <c r="C34" s="12">
        <f t="shared" si="9"/>
        <v>0.00447428697760307</v>
      </c>
      <c r="D34" s="14">
        <v>3.2</v>
      </c>
      <c r="E34" s="13">
        <f>$D$4/$C$4/$A$7</f>
        <v>0.376452009597794</v>
      </c>
      <c r="F34" s="13">
        <f>$C$4*$A$7/($C$4*$A$7-$D$4)</f>
        <v>1.60372580040707</v>
      </c>
      <c r="G34" s="13">
        <f t="shared" si="10"/>
        <v>0.933666304448828</v>
      </c>
      <c r="H34" s="12">
        <f t="shared" si="2"/>
        <v>0.00447428697760307</v>
      </c>
      <c r="I34" s="25">
        <f>(1-G34)*$C$4*H34</f>
        <v>9.29170920804269</v>
      </c>
      <c r="J34" s="12">
        <f t="shared" si="3"/>
        <v>0.00446430711306974</v>
      </c>
      <c r="K34" s="25">
        <f t="shared" si="4"/>
        <v>9.33328298155191</v>
      </c>
      <c r="L34" s="12">
        <f>J34-K34/$C$4</f>
        <v>0.00416618317245498</v>
      </c>
      <c r="M34" s="26">
        <f>1-(K34/J34/$C$4)^0.5</f>
        <v>0.741582812874297</v>
      </c>
      <c r="N34" s="27">
        <f>1-(K34/$C$4)/(0.7*L34*(1/0.5-1)+K34/$C$4)</f>
        <v>0.907255132242779</v>
      </c>
      <c r="O34" s="28">
        <f t="shared" si="5"/>
        <v>9.33328298155191</v>
      </c>
      <c r="P34" s="29">
        <f t="shared" si="6"/>
        <v>0.00416618317245498</v>
      </c>
      <c r="Q34" s="32">
        <f t="shared" si="7"/>
        <v>0.741582812874297</v>
      </c>
      <c r="R34" s="33">
        <f t="shared" si="8"/>
        <v>0.00416618317245498</v>
      </c>
      <c r="S34" s="34">
        <f>L34-Q34*O34/((1-Q34)*$C$4)</f>
        <v>0.00331065342644499</v>
      </c>
    </row>
    <row r="35" ht="16.5" customHeight="1" spans="1:19">
      <c r="A35" s="12">
        <f>(700+172*$D$4^0.5)*10^(-6)</f>
        <v>0.00139821468050096</v>
      </c>
      <c r="B35" s="13">
        <f>0.157*$D$4^0.785-0.905</f>
        <v>0.511389449207738</v>
      </c>
      <c r="C35" s="12">
        <f t="shared" si="9"/>
        <v>0.00475392991370326</v>
      </c>
      <c r="D35" s="14">
        <v>3.4</v>
      </c>
      <c r="E35" s="13">
        <f>$D$4/$C$4/$A$7</f>
        <v>0.376452009597794</v>
      </c>
      <c r="F35" s="13">
        <f>$C$4*$A$7/($C$4*$A$7-$D$4)</f>
        <v>1.60372580040707</v>
      </c>
      <c r="G35" s="13">
        <f t="shared" si="10"/>
        <v>0.940675142125161</v>
      </c>
      <c r="H35" s="12">
        <f t="shared" si="2"/>
        <v>0.00475392991370326</v>
      </c>
      <c r="I35" s="25">
        <f>(1-G35)*$C$4*H35</f>
        <v>8.82931602598556</v>
      </c>
      <c r="J35" s="12">
        <f t="shared" si="3"/>
        <v>0.00474266567438675</v>
      </c>
      <c r="K35" s="25">
        <f t="shared" si="4"/>
        <v>8.87128997555903</v>
      </c>
      <c r="L35" s="12">
        <f>J35-K35/$C$4</f>
        <v>0.0044592987250424</v>
      </c>
      <c r="M35" s="26">
        <f>1-(K35/J35/$C$4)^0.5</f>
        <v>0.75556502792534</v>
      </c>
      <c r="N35" s="27">
        <f>1-(K35/$C$4)/(0.7*L35*(1/0.5-1)+K35/$C$4)</f>
        <v>0.9167761338119</v>
      </c>
      <c r="O35" s="28">
        <f t="shared" si="5"/>
        <v>8.87128997555903</v>
      </c>
      <c r="P35" s="29">
        <f t="shared" si="6"/>
        <v>0.0044592987250424</v>
      </c>
      <c r="Q35" s="32">
        <f t="shared" si="7"/>
        <v>0.75556502792534</v>
      </c>
      <c r="R35" s="33">
        <f t="shared" si="8"/>
        <v>0.0044592987250424</v>
      </c>
      <c r="S35" s="34">
        <f>L35-Q35*O35/((1-Q35)*$C$4)</f>
        <v>0.00358339232270858</v>
      </c>
    </row>
    <row r="36" ht="16.5" customHeight="1" spans="1:19">
      <c r="A36" s="12">
        <f>(700+172*$D$4^0.5)*10^(-6)</f>
        <v>0.00139821468050096</v>
      </c>
      <c r="B36" s="13">
        <f>0.157*$D$4^0.785-0.905</f>
        <v>0.511389449207738</v>
      </c>
      <c r="C36" s="12">
        <f t="shared" si="9"/>
        <v>0.00503357284980345</v>
      </c>
      <c r="D36" s="14">
        <v>3.6</v>
      </c>
      <c r="E36" s="13">
        <f>$D$4/$C$4/$A$7</f>
        <v>0.376452009597794</v>
      </c>
      <c r="F36" s="13">
        <f>$C$4*$A$7/($C$4*$A$7-$D$4)</f>
        <v>1.60372580040707</v>
      </c>
      <c r="G36" s="13">
        <f t="shared" si="10"/>
        <v>0.946655462624513</v>
      </c>
      <c r="H36" s="12">
        <f t="shared" si="2"/>
        <v>0.00503357284980345</v>
      </c>
      <c r="I36" s="25">
        <f>(1-G36)*$C$4*H36</f>
        <v>8.40628078442813</v>
      </c>
      <c r="J36" s="12">
        <f t="shared" si="3"/>
        <v>0.00502094677377701</v>
      </c>
      <c r="K36" s="25">
        <f t="shared" si="4"/>
        <v>8.44859441115245</v>
      </c>
      <c r="L36" s="12">
        <f>J36-K36/$C$4</f>
        <v>0.00475108157591607</v>
      </c>
      <c r="M36" s="26">
        <f>1-(K36/J36/$C$4)^0.5</f>
        <v>0.768164129879381</v>
      </c>
      <c r="N36" s="27">
        <f>1-(K36/$C$4)/(0.7*L36*(1/0.5-1)+K36/$C$4)</f>
        <v>0.924946177526566</v>
      </c>
      <c r="O36" s="28">
        <f t="shared" si="5"/>
        <v>8.44859441115245</v>
      </c>
      <c r="P36" s="29">
        <f t="shared" si="6"/>
        <v>0.00475108157591607</v>
      </c>
      <c r="Q36" s="32">
        <f t="shared" si="7"/>
        <v>0.768164129879381</v>
      </c>
      <c r="R36" s="33">
        <f t="shared" si="8"/>
        <v>0.00475108157591607</v>
      </c>
      <c r="S36" s="34">
        <f>L36-Q36*O36/((1-Q36)*$C$4)</f>
        <v>0.0038569112096491</v>
      </c>
    </row>
    <row r="37" ht="16.5" customHeight="1" spans="1:19">
      <c r="A37" s="12">
        <f>(700+172*$D$4^0.5)*10^(-6)</f>
        <v>0.00139821468050096</v>
      </c>
      <c r="B37" s="13">
        <f>0.157*$D$4^0.785-0.905</f>
        <v>0.511389449207738</v>
      </c>
      <c r="C37" s="12">
        <f t="shared" si="9"/>
        <v>0.00531321578590365</v>
      </c>
      <c r="D37" s="14">
        <v>3.8</v>
      </c>
      <c r="E37" s="13">
        <f>$D$4/$C$4/$A$7</f>
        <v>0.376452009597794</v>
      </c>
      <c r="F37" s="13">
        <f>$C$4*$A$7/($C$4*$A$7-$D$4)</f>
        <v>1.60372580040707</v>
      </c>
      <c r="G37" s="13">
        <f t="shared" si="10"/>
        <v>0.951794356286287</v>
      </c>
      <c r="H37" s="12">
        <f t="shared" si="2"/>
        <v>0.00531321578590365</v>
      </c>
      <c r="I37" s="25">
        <f>(1-G37)*$C$4*H37</f>
        <v>8.01849608370148</v>
      </c>
      <c r="J37" s="12">
        <f t="shared" si="3"/>
        <v>0.00529915045434068</v>
      </c>
      <c r="K37" s="25">
        <f t="shared" si="4"/>
        <v>8.06110008367261</v>
      </c>
      <c r="L37" s="12">
        <f>J37-K37/$C$4</f>
        <v>0.00504166260924002</v>
      </c>
      <c r="M37" s="26">
        <f>1-(K37/J37/$C$4)^0.5</f>
        <v>0.779567695384965</v>
      </c>
      <c r="N37" s="27">
        <f>1-(K37/$C$4)/(0.7*L37*(1/0.5-1)+K37/$C$4)</f>
        <v>0.932001180083724</v>
      </c>
      <c r="O37" s="28">
        <f t="shared" si="5"/>
        <v>8.06110008367261</v>
      </c>
      <c r="P37" s="29">
        <f t="shared" si="6"/>
        <v>0.00504166260924002</v>
      </c>
      <c r="Q37" s="32">
        <f t="shared" si="7"/>
        <v>0.779567695384965</v>
      </c>
      <c r="R37" s="33">
        <f t="shared" si="8"/>
        <v>0.00504166260924002</v>
      </c>
      <c r="S37" s="34">
        <f>L37-Q37*O37/((1-Q37)*$C$4)</f>
        <v>0.00413104650718856</v>
      </c>
    </row>
    <row r="38" ht="16.5" customHeight="1" spans="1:19">
      <c r="A38" s="12">
        <f>(700+172*$D$4^0.5)*10^(-6)</f>
        <v>0.00139821468050096</v>
      </c>
      <c r="B38" s="13">
        <f>0.157*$D$4^0.785-0.905</f>
        <v>0.511389449207738</v>
      </c>
      <c r="C38" s="12">
        <f t="shared" si="9"/>
        <v>0.00559285872200384</v>
      </c>
      <c r="D38" s="14">
        <v>4</v>
      </c>
      <c r="E38" s="13">
        <f>$D$4/$C$4/$A$7</f>
        <v>0.376452009597794</v>
      </c>
      <c r="F38" s="13">
        <f>$C$4*$A$7/($C$4*$A$7-$D$4)</f>
        <v>1.60372580040707</v>
      </c>
      <c r="G38" s="13">
        <f t="shared" si="10"/>
        <v>0.956239257318446</v>
      </c>
      <c r="H38" s="12">
        <f t="shared" si="2"/>
        <v>0.00559285872200384</v>
      </c>
      <c r="I38" s="25">
        <f>(1-G38)*$C$4*H38</f>
        <v>7.66224639578756</v>
      </c>
      <c r="J38" s="12">
        <f t="shared" si="3"/>
        <v>0.00557727675914198</v>
      </c>
      <c r="K38" s="25">
        <f t="shared" si="4"/>
        <v>7.70510025737238</v>
      </c>
      <c r="L38" s="12">
        <f>J38-K38/$C$4</f>
        <v>0.00533116026871733</v>
      </c>
      <c r="M38" s="26">
        <f>1-(K38/J38/$C$4)^0.5</f>
        <v>0.789932310457083</v>
      </c>
      <c r="N38" s="27">
        <f>1-(K38/$C$4)/(0.7*L38*(1/0.5-1)+K38/$C$4)</f>
        <v>0.938129486394965</v>
      </c>
      <c r="O38" s="28">
        <f t="shared" si="5"/>
        <v>7.70510025737238</v>
      </c>
      <c r="P38" s="29">
        <f t="shared" si="6"/>
        <v>0.00533116026871733</v>
      </c>
      <c r="Q38" s="32">
        <f t="shared" si="7"/>
        <v>0.789932310457083</v>
      </c>
      <c r="R38" s="33">
        <f t="shared" si="8"/>
        <v>0.00533116026871733</v>
      </c>
      <c r="S38" s="34">
        <f>L38-Q38*O38/((1-Q38)*$C$4)</f>
        <v>0.00440567111640762</v>
      </c>
    </row>
    <row r="39" ht="16.5" customHeight="1" spans="1:19">
      <c r="A39" s="12">
        <f>(700+172*$D$4^0.5)*10^(-6)</f>
        <v>0.00139821468050096</v>
      </c>
      <c r="B39" s="13">
        <f>0.157*$D$4^0.785-0.905</f>
        <v>0.511389449207738</v>
      </c>
      <c r="C39" s="12">
        <f t="shared" si="9"/>
        <v>0.00587250165810403</v>
      </c>
      <c r="D39" s="14">
        <v>4.2</v>
      </c>
      <c r="E39" s="13">
        <f>$D$4/$C$4/$A$7</f>
        <v>0.376452009597794</v>
      </c>
      <c r="F39" s="13">
        <f>$C$4*$A$7/($C$4*$A$7-$D$4)</f>
        <v>1.60372580040707</v>
      </c>
      <c r="G39" s="13">
        <f t="shared" si="10"/>
        <v>0.960107359196739</v>
      </c>
      <c r="H39" s="12">
        <f t="shared" si="2"/>
        <v>0.00587250165810403</v>
      </c>
      <c r="I39" s="25">
        <f>(1-G39)*$C$4*H39</f>
        <v>7.33421294308109</v>
      </c>
      <c r="J39" s="12">
        <f t="shared" si="3"/>
        <v>0.00585532573120985</v>
      </c>
      <c r="K39" s="25">
        <f t="shared" si="4"/>
        <v>7.37728312075023</v>
      </c>
      <c r="L39" s="12">
        <f>J39-K39/$C$4</f>
        <v>0.00561968038333643</v>
      </c>
      <c r="M39" s="26">
        <f>1-(K39/J39/$C$4)^0.5</f>
        <v>0.79938938688385</v>
      </c>
      <c r="N39" s="27">
        <f>1-(K39/$C$4)/(0.7*L39*(1/0.5-1)+K39/$C$4)</f>
        <v>0.943482485206742</v>
      </c>
      <c r="O39" s="28">
        <f t="shared" si="5"/>
        <v>7.37728312075023</v>
      </c>
      <c r="P39" s="29">
        <f t="shared" si="6"/>
        <v>0.00561968038333643</v>
      </c>
      <c r="Q39" s="32">
        <f t="shared" si="7"/>
        <v>0.79938938688385</v>
      </c>
      <c r="R39" s="33">
        <f t="shared" si="8"/>
        <v>0.00561968038333643</v>
      </c>
      <c r="S39" s="34">
        <f>L39-Q39*O39/((1-Q39)*$C$4)</f>
        <v>0.00468068524627707</v>
      </c>
    </row>
    <row r="40" ht="16.5" customHeight="1" spans="1:19">
      <c r="A40" s="12">
        <f>(700+172*$D$4^0.5)*10^(-6)</f>
        <v>0.00139821468050096</v>
      </c>
      <c r="B40" s="13">
        <f>0.157*$D$4^0.785-0.905</f>
        <v>0.511389449207738</v>
      </c>
      <c r="C40" s="12">
        <f t="shared" si="9"/>
        <v>0.00615214459420422</v>
      </c>
      <c r="D40" s="14">
        <v>4.4</v>
      </c>
      <c r="E40" s="13">
        <f>$D$4/$C$4/$A$7</f>
        <v>0.376452009597794</v>
      </c>
      <c r="F40" s="13">
        <f>$C$4*$A$7/($C$4*$A$7-$D$4)</f>
        <v>1.60372580040707</v>
      </c>
      <c r="G40" s="13">
        <f t="shared" si="10"/>
        <v>0.963492596208173</v>
      </c>
      <c r="H40" s="12">
        <f t="shared" si="2"/>
        <v>0.00615214459420422</v>
      </c>
      <c r="I40" s="25">
        <f>(1-G40)*$C$4*H40</f>
        <v>7.03145277206491</v>
      </c>
      <c r="J40" s="12">
        <f t="shared" si="3"/>
        <v>0.00613329741353669</v>
      </c>
      <c r="K40" s="25">
        <f t="shared" si="4"/>
        <v>7.07471128622598</v>
      </c>
      <c r="L40" s="12">
        <f>J40-K40/$C$4</f>
        <v>0.00590731682219168</v>
      </c>
      <c r="M40" s="26">
        <f>1-(K40/J40/$C$4)^0.5</f>
        <v>0.808049804860889</v>
      </c>
      <c r="N40" s="27">
        <f>1-(K40/$C$4)/(0.7*L40*(1/0.5-1)+K40/$C$4)</f>
        <v>0.94818269044514</v>
      </c>
      <c r="O40" s="28">
        <f t="shared" si="5"/>
        <v>7.07471128622598</v>
      </c>
      <c r="P40" s="29">
        <f t="shared" si="6"/>
        <v>0.00590731682219168</v>
      </c>
      <c r="Q40" s="32">
        <f t="shared" si="7"/>
        <v>0.808049804860889</v>
      </c>
      <c r="R40" s="33">
        <f t="shared" si="8"/>
        <v>0.00590731682219168</v>
      </c>
      <c r="S40" s="34">
        <f>L40-Q40*O40/((1-Q40)*$C$4)</f>
        <v>0.00495600977816211</v>
      </c>
    </row>
    <row r="41" ht="16.5" customHeight="1" spans="1:19">
      <c r="A41" s="12">
        <f>(700+172*$D$4^0.5)*10^(-6)</f>
        <v>0.00139821468050096</v>
      </c>
      <c r="B41" s="13">
        <f>0.157*$D$4^0.785-0.905</f>
        <v>0.511389449207738</v>
      </c>
      <c r="C41" s="12">
        <f t="shared" si="9"/>
        <v>0.00643178753030441</v>
      </c>
      <c r="D41" s="14">
        <v>4.6</v>
      </c>
      <c r="E41" s="13">
        <f>$D$4/$C$4/$A$7</f>
        <v>0.376452009597794</v>
      </c>
      <c r="F41" s="13">
        <f>$C$4*$A$7/($C$4*$A$7-$D$4)</f>
        <v>1.60372580040707</v>
      </c>
      <c r="G41" s="13">
        <f t="shared" si="10"/>
        <v>0.966470860547387</v>
      </c>
      <c r="H41" s="12">
        <f t="shared" si="2"/>
        <v>0.00643178753030441</v>
      </c>
      <c r="I41" s="25">
        <f>(1-G41)*$C$4*H41</f>
        <v>6.75136638478196</v>
      </c>
      <c r="J41" s="12">
        <f t="shared" si="3"/>
        <v>0.00641119184907905</v>
      </c>
      <c r="K41" s="25">
        <f t="shared" si="4"/>
        <v>6.79478973890812</v>
      </c>
      <c r="L41" s="12">
        <f>J41-K41/$C$4</f>
        <v>0.00619415251826522</v>
      </c>
      <c r="M41" s="26">
        <f>1-(K41/J41/$C$4)^0.5</f>
        <v>0.816007621183918</v>
      </c>
      <c r="N41" s="27">
        <f>1-(K41/$C$4)/(0.7*L41*(1/0.5-1)+K41/$C$4)</f>
        <v>0.952329914224345</v>
      </c>
      <c r="O41" s="28">
        <f t="shared" si="5"/>
        <v>6.79478973890812</v>
      </c>
      <c r="P41" s="29">
        <f t="shared" si="6"/>
        <v>0.00619415251826522</v>
      </c>
      <c r="Q41" s="32">
        <f t="shared" si="7"/>
        <v>0.816007621183918</v>
      </c>
      <c r="R41" s="33">
        <f t="shared" si="8"/>
        <v>0.00619415251826522</v>
      </c>
      <c r="S41" s="34">
        <f>L41-Q41*O41/((1-Q41)*$C$4)</f>
        <v>0.00523158140972072</v>
      </c>
    </row>
    <row r="42" ht="16.5" customHeight="1" spans="1:19">
      <c r="A42" s="12">
        <f>(700+172*$D$4^0.5)*10^(-6)</f>
        <v>0.00139821468050096</v>
      </c>
      <c r="B42" s="13">
        <f>0.157*$D$4^0.785-0.905</f>
        <v>0.511389449207738</v>
      </c>
      <c r="C42" s="12">
        <f t="shared" si="9"/>
        <v>0.00671143046640461</v>
      </c>
      <c r="D42" s="14">
        <v>4.8</v>
      </c>
      <c r="E42" s="13">
        <f>$D$4/$C$4/$A$7</f>
        <v>0.376452009597794</v>
      </c>
      <c r="F42" s="13">
        <f>$C$4*$A$7/($C$4*$A$7-$D$4)</f>
        <v>1.60372580040707</v>
      </c>
      <c r="G42" s="13">
        <f t="shared" si="10"/>
        <v>0.969103932637685</v>
      </c>
      <c r="H42" s="12">
        <f t="shared" si="2"/>
        <v>0.00671143046640461</v>
      </c>
      <c r="I42" s="25">
        <f>(1-G42)*$C$4*H42</f>
        <v>6.4916616935945</v>
      </c>
      <c r="J42" s="12">
        <f t="shared" si="3"/>
        <v>0.00668900908075835</v>
      </c>
      <c r="K42" s="25">
        <f t="shared" si="4"/>
        <v>6.53523002966248</v>
      </c>
      <c r="L42" s="12">
        <f>J42-K42/$C$4</f>
        <v>0.00648026061217361</v>
      </c>
      <c r="M42" s="26">
        <f>1-(K42/J42/$C$4)^0.5</f>
        <v>0.823343038505559</v>
      </c>
      <c r="N42" s="27">
        <f>1-(K42/$C$4)/(0.7*L42*(1/0.5-1)+K42/$C$4)</f>
        <v>0.95600600448954</v>
      </c>
      <c r="O42" s="28">
        <f t="shared" si="5"/>
        <v>6.53523002966248</v>
      </c>
      <c r="P42" s="29">
        <f t="shared" si="6"/>
        <v>0.00648026061217361</v>
      </c>
      <c r="Q42" s="32">
        <f t="shared" si="7"/>
        <v>0.823343038505559</v>
      </c>
      <c r="R42" s="33">
        <f t="shared" si="8"/>
        <v>0.00648026061217361</v>
      </c>
      <c r="S42" s="34">
        <f>L42-Q42*O42/((1-Q42)*$C$4)</f>
        <v>0.00550734906114285</v>
      </c>
    </row>
    <row r="43" ht="16.5" customHeight="1" spans="1:19">
      <c r="A43" s="12">
        <f>(700+172*$D$4^0.5)*10^(-6)</f>
        <v>0.00139821468050096</v>
      </c>
      <c r="B43" s="13">
        <f>0.157*$D$4^0.785-0.905</f>
        <v>0.511389449207738</v>
      </c>
      <c r="C43" s="12">
        <f t="shared" si="9"/>
        <v>0.0069910734025048</v>
      </c>
      <c r="D43" s="14">
        <v>5</v>
      </c>
      <c r="E43" s="13">
        <f>$D$4/$C$4/$A$7</f>
        <v>0.376452009597794</v>
      </c>
      <c r="F43" s="13">
        <f>$C$4*$A$7/($C$4*$A$7-$D$4)</f>
        <v>1.60372580040707</v>
      </c>
      <c r="G43" s="13">
        <f t="shared" si="10"/>
        <v>0.971442466434681</v>
      </c>
      <c r="H43" s="12">
        <f t="shared" si="2"/>
        <v>0.0069910734025048</v>
      </c>
      <c r="I43" s="25">
        <f>(1-G43)*$C$4*H43</f>
        <v>6.25031835684772</v>
      </c>
      <c r="J43" s="12">
        <f t="shared" si="3"/>
        <v>0.00696674915145936</v>
      </c>
      <c r="K43" s="25">
        <f t="shared" si="4"/>
        <v>6.29401479126947</v>
      </c>
      <c r="L43" s="12">
        <f>J43-K43/$C$4</f>
        <v>0.00676570558559195</v>
      </c>
      <c r="M43" s="26">
        <f>1-(K43/J43/$C$4)^0.5</f>
        <v>0.830124791557579</v>
      </c>
      <c r="N43" s="27">
        <f>1-(K43/$C$4)/(0.7*L43*(1/0.5-1)+K43/$C$4)</f>
        <v>0.959278501155072</v>
      </c>
      <c r="O43" s="28">
        <f t="shared" si="5"/>
        <v>6.29401479126947</v>
      </c>
      <c r="P43" s="29">
        <f t="shared" si="6"/>
        <v>0.00676570558559195</v>
      </c>
      <c r="Q43" s="32">
        <f t="shared" si="7"/>
        <v>0.830124791557579</v>
      </c>
      <c r="R43" s="33">
        <f t="shared" si="8"/>
        <v>0.00676570558559195</v>
      </c>
      <c r="S43" s="34">
        <f>L43-Q43*O43/((1-Q43)*$C$4)</f>
        <v>0.00578327118718914</v>
      </c>
    </row>
    <row r="44" ht="16.5" customHeight="1" spans="1:19">
      <c r="A44" s="12">
        <f>(700+172*$D$4^0.5)*10^(-6)</f>
        <v>0.00139821468050096</v>
      </c>
      <c r="B44" s="13">
        <f>0.157*$D$4^0.785-0.905</f>
        <v>0.511389449207738</v>
      </c>
      <c r="C44" s="12">
        <f t="shared" si="9"/>
        <v>0.00727071633860499</v>
      </c>
      <c r="D44" s="14">
        <v>5.2</v>
      </c>
      <c r="E44" s="13">
        <f>$D$4/$C$4/$A$7</f>
        <v>0.376452009597794</v>
      </c>
      <c r="F44" s="13">
        <f>$C$4*$A$7/($C$4*$A$7-$D$4)</f>
        <v>1.60372580040707</v>
      </c>
      <c r="G44" s="13">
        <f t="shared" si="10"/>
        <v>0.973528275429078</v>
      </c>
      <c r="H44" s="12">
        <f t="shared" si="2"/>
        <v>0.00727071633860499</v>
      </c>
      <c r="I44" s="25">
        <f>(1-G44)*$C$4*H44</f>
        <v>6.0255544783091</v>
      </c>
      <c r="J44" s="12">
        <f t="shared" si="3"/>
        <v>0.00724441210403203</v>
      </c>
      <c r="K44" s="25">
        <f t="shared" si="4"/>
        <v>6.06936457570369</v>
      </c>
      <c r="L44" s="12">
        <f>J44-K44/$C$4</f>
        <v>0.0070505443205401</v>
      </c>
      <c r="M44" s="26">
        <f>1-(K44/J44/$C$4)^0.5</f>
        <v>0.836412073107633</v>
      </c>
      <c r="N44" s="27">
        <f>1-(K44/$C$4)/(0.7*L44*(1/0.5-1)+K44/$C$4)</f>
        <v>0.962203474474766</v>
      </c>
      <c r="O44" s="25">
        <f t="shared" si="5"/>
        <v>6.06936457570369</v>
      </c>
      <c r="P44" s="12">
        <f t="shared" si="6"/>
        <v>0.0070505443205401</v>
      </c>
      <c r="Q44" s="26">
        <f t="shared" si="7"/>
        <v>0.836412073107633</v>
      </c>
      <c r="R44" s="12">
        <f t="shared" si="8"/>
        <v>0.0070505443205401</v>
      </c>
      <c r="S44" s="34">
        <f>L44-Q44*O44/((1-Q44)*$C$4)</f>
        <v>0.00605931374637946</v>
      </c>
    </row>
    <row r="45" ht="16.5" customHeight="1" spans="1:19">
      <c r="A45" s="12">
        <f>(700+172*$D$4^0.5)*10^(-6)</f>
        <v>0.00139821468050096</v>
      </c>
      <c r="B45" s="13">
        <f>0.157*$D$4^0.785-0.905</f>
        <v>0.511389449207738</v>
      </c>
      <c r="C45" s="12">
        <f t="shared" si="9"/>
        <v>0.00755035927470518</v>
      </c>
      <c r="D45" s="14">
        <v>5.4</v>
      </c>
      <c r="E45" s="13">
        <f>$D$4/$C$4/$A$7</f>
        <v>0.376452009597794</v>
      </c>
      <c r="F45" s="13">
        <f>$C$4*$A$7/($C$4*$A$7-$D$4)</f>
        <v>1.60372580040707</v>
      </c>
      <c r="G45" s="13">
        <f t="shared" si="10"/>
        <v>0.97539609711598</v>
      </c>
      <c r="H45" s="12">
        <f t="shared" si="2"/>
        <v>0.00755035927470518</v>
      </c>
      <c r="I45" s="25">
        <f>(1-G45)*$C$4*H45</f>
        <v>5.8157965054612</v>
      </c>
      <c r="J45" s="12">
        <f t="shared" si="3"/>
        <v>0.00752199798128992</v>
      </c>
      <c r="K45" s="25">
        <f t="shared" si="4"/>
        <v>5.85970785854601</v>
      </c>
      <c r="L45" s="12">
        <f>J45-K45/$C$4</f>
        <v>0.00733482705750094</v>
      </c>
      <c r="M45" s="26">
        <f>1-(K45/J45/$C$4)^0.5</f>
        <v>0.842256095751956</v>
      </c>
      <c r="N45" s="27">
        <f>1-(K45/$C$4)/(0.7*L45*(1/0.5-1)+K45/$C$4)</f>
        <v>0.964827742185827</v>
      </c>
      <c r="O45" s="25">
        <f t="shared" si="5"/>
        <v>5.85970785854601</v>
      </c>
      <c r="P45" s="12">
        <f t="shared" si="6"/>
        <v>0.00733482705750094</v>
      </c>
      <c r="Q45" s="26">
        <f t="shared" si="7"/>
        <v>0.842256095751956</v>
      </c>
      <c r="R45" s="12">
        <f t="shared" si="8"/>
        <v>0.00733482705750094</v>
      </c>
      <c r="S45" s="34">
        <f>L45-Q45*O45/((1-Q45)*$C$4)</f>
        <v>0.00633544865197534</v>
      </c>
    </row>
    <row r="46" ht="16.5" customHeight="1" spans="1:19">
      <c r="A46" s="12">
        <f>(700+172*$D$4^0.5)*10^(-6)</f>
        <v>0.00139821468050096</v>
      </c>
      <c r="B46" s="13">
        <f>0.157*$D$4^0.785-0.905</f>
        <v>0.511389449207738</v>
      </c>
      <c r="C46" s="12">
        <f t="shared" si="9"/>
        <v>0.00783000221080537</v>
      </c>
      <c r="D46" s="14">
        <v>5.6</v>
      </c>
      <c r="E46" s="13">
        <f>$D$4/$C$4/$A$7</f>
        <v>0.376452009597794</v>
      </c>
      <c r="F46" s="13">
        <f>$C$4*$A$7/($C$4*$A$7-$D$4)</f>
        <v>1.60372580040707</v>
      </c>
      <c r="G46" s="13">
        <f t="shared" si="10"/>
        <v>0.977074965439788</v>
      </c>
      <c r="H46" s="12">
        <f t="shared" si="2"/>
        <v>0.00783000221080537</v>
      </c>
      <c r="I46" s="25">
        <f>(1-G46)*$C$4*H46</f>
        <v>5.61965254097165</v>
      </c>
      <c r="J46" s="12">
        <f t="shared" si="3"/>
        <v>0.007799506826011</v>
      </c>
      <c r="K46" s="25">
        <f t="shared" si="4"/>
        <v>5.66365443279142</v>
      </c>
      <c r="L46" s="12">
        <f>J46-K46/$C$4</f>
        <v>0.00761859824527671</v>
      </c>
      <c r="M46" s="26">
        <f>1-(K46/J46/$C$4)^0.5</f>
        <v>0.847701364619229</v>
      </c>
      <c r="N46" s="27">
        <f>1-(K46/$C$4)/(0.7*L46*(1/0.5-1)+K46/$C$4)</f>
        <v>0.967190612213157</v>
      </c>
      <c r="O46" s="25">
        <f t="shared" si="5"/>
        <v>5.66365443279142</v>
      </c>
      <c r="P46" s="12">
        <f t="shared" si="6"/>
        <v>0.00761859824527671</v>
      </c>
      <c r="Q46" s="26">
        <f t="shared" si="7"/>
        <v>0.847701364619229</v>
      </c>
      <c r="R46" s="12">
        <f t="shared" si="8"/>
        <v>0.00761859824527671</v>
      </c>
      <c r="S46" s="34">
        <f>L46-Q46*O46/((1-Q46)*$C$4)</f>
        <v>0.00661165257976651</v>
      </c>
    </row>
    <row r="47" ht="16.5" customHeight="1" spans="1:19">
      <c r="A47" s="12">
        <f>(700+172*$D$4^0.5)*10^(-6)</f>
        <v>0.00139821468050096</v>
      </c>
      <c r="B47" s="13">
        <f>0.157*$D$4^0.785-0.905</f>
        <v>0.511389449207738</v>
      </c>
      <c r="C47" s="12">
        <f t="shared" si="9"/>
        <v>0.00810964514690556</v>
      </c>
      <c r="D47" s="14">
        <v>5.8</v>
      </c>
      <c r="E47" s="13">
        <f>$D$4/$C$4/$A$7</f>
        <v>0.376452009597794</v>
      </c>
      <c r="F47" s="13">
        <f>$C$4*$A$7/($C$4*$A$7-$D$4)</f>
        <v>1.60372580040707</v>
      </c>
      <c r="G47" s="13">
        <f t="shared" si="10"/>
        <v>0.978589286264053</v>
      </c>
      <c r="H47" s="12">
        <f t="shared" si="2"/>
        <v>0.00810964514690556</v>
      </c>
      <c r="I47" s="25">
        <f>(1-G47)*$C$4*H47</f>
        <v>5.43588895999906</v>
      </c>
      <c r="J47" s="12">
        <f t="shared" si="3"/>
        <v>0.00807693868093825</v>
      </c>
      <c r="K47" s="25">
        <f t="shared" si="4"/>
        <v>5.47997209052263</v>
      </c>
      <c r="L47" s="12">
        <f>J47-K47/$C$4</f>
        <v>0.00790189728582415</v>
      </c>
      <c r="M47" s="26">
        <f>1-(K47/J47/$C$4)^0.5</f>
        <v>0.852786719662181</v>
      </c>
      <c r="N47" s="27">
        <f>1-(K47/$C$4)/(0.7*L47*(1/0.5-1)+K47/$C$4)</f>
        <v>0.969325260962927</v>
      </c>
      <c r="O47" s="25">
        <f t="shared" si="5"/>
        <v>5.47997209052263</v>
      </c>
      <c r="P47" s="12">
        <f t="shared" si="6"/>
        <v>0.00790189728582415</v>
      </c>
      <c r="Q47" s="26">
        <f t="shared" si="7"/>
        <v>0.852786719662181</v>
      </c>
      <c r="R47" s="12">
        <f t="shared" si="8"/>
        <v>0.00790189728582415</v>
      </c>
      <c r="S47" s="34">
        <f>L47-Q47*O47/((1-Q47)*$C$4)</f>
        <v>0.00688790604262991</v>
      </c>
    </row>
    <row r="48" ht="16.5" customHeight="1" spans="1:19">
      <c r="A48" s="12">
        <f>(700+172*$D$4^0.5)*10^(-6)</f>
        <v>0.00139821468050096</v>
      </c>
      <c r="B48" s="13">
        <f>0.157*$D$4^0.785-0.905</f>
        <v>0.511389449207738</v>
      </c>
      <c r="C48" s="12">
        <f t="shared" si="9"/>
        <v>0.00838928808300576</v>
      </c>
      <c r="D48" s="14">
        <v>6</v>
      </c>
      <c r="E48" s="13">
        <f>$D$4/$C$4/$A$7</f>
        <v>0.376452009597794</v>
      </c>
      <c r="F48" s="13">
        <f>$C$4*$A$7/($C$4*$A$7-$D$4)</f>
        <v>1.60372580040707</v>
      </c>
      <c r="G48" s="13">
        <f t="shared" si="10"/>
        <v>0.979959686152382</v>
      </c>
      <c r="H48" s="12">
        <f t="shared" si="2"/>
        <v>0.00838928808300576</v>
      </c>
      <c r="I48" s="25">
        <f>(1-G48)*$C$4*H48</f>
        <v>5.26341007281689</v>
      </c>
      <c r="J48" s="12">
        <f t="shared" si="3"/>
        <v>0.00835429358877823</v>
      </c>
      <c r="K48" s="25">
        <f t="shared" si="4"/>
        <v>5.30756633621675</v>
      </c>
      <c r="L48" s="12">
        <f>J48-K48/$C$4</f>
        <v>0.00818475918225109</v>
      </c>
      <c r="M48" s="26">
        <f>1-(K48/J48/$C$4)^0.5</f>
        <v>0.857546193491329</v>
      </c>
      <c r="N48" s="27">
        <f>1-(K48/$C$4)/(0.7*L48*(1/0.5-1)+K48/$C$4)</f>
        <v>0.971259830059702</v>
      </c>
      <c r="O48" s="25">
        <f t="shared" si="5"/>
        <v>5.30756633621675</v>
      </c>
      <c r="P48" s="12">
        <f t="shared" si="6"/>
        <v>0.00818475918225109</v>
      </c>
      <c r="Q48" s="26">
        <f t="shared" si="7"/>
        <v>0.857546193491329</v>
      </c>
      <c r="R48" s="12">
        <f t="shared" si="8"/>
        <v>0.00818475918225109</v>
      </c>
      <c r="S48" s="34">
        <f>L48-Q48*O48/((1-Q48)*$C$4)</f>
        <v>0.00716419266636578</v>
      </c>
    </row>
    <row r="49" ht="16.5" customHeight="1" spans="1:19">
      <c r="A49" s="12">
        <f>(700+172*$D$4^0.5)*10^(-6)</f>
        <v>0.00139821468050096</v>
      </c>
      <c r="B49" s="13">
        <f>0.157*$D$4^0.785-0.905</f>
        <v>0.511389449207738</v>
      </c>
      <c r="C49" s="12">
        <f t="shared" si="9"/>
        <v>0.00866893101910595</v>
      </c>
      <c r="D49" s="14">
        <v>6.2</v>
      </c>
      <c r="E49" s="13">
        <f>$D$4/$C$4/$A$7</f>
        <v>0.376452009597794</v>
      </c>
      <c r="F49" s="13">
        <f>$C$4*$A$7/($C$4*$A$7-$D$4)</f>
        <v>1.60372580040707</v>
      </c>
      <c r="G49" s="13">
        <f t="shared" si="10"/>
        <v>0.981203686828134</v>
      </c>
      <c r="H49" s="12">
        <f t="shared" si="2"/>
        <v>0.00866893101910595</v>
      </c>
      <c r="I49" s="25">
        <f>(1-G49)*$C$4*H49</f>
        <v>5.10124051253131</v>
      </c>
      <c r="J49" s="12">
        <f t="shared" si="3"/>
        <v>0.00863157159220285</v>
      </c>
      <c r="K49" s="25">
        <f t="shared" si="4"/>
        <v>5.14546281464631</v>
      </c>
      <c r="L49" s="12">
        <f>J49-K49/$C$4</f>
        <v>0.00846721510010664</v>
      </c>
      <c r="M49" s="26">
        <f>1-(K49/J49/$C$4)^0.5</f>
        <v>0.862009720852786</v>
      </c>
      <c r="N49" s="27">
        <f>1-(K49/$C$4)/(0.7*L49*(1/0.5-1)+K49/$C$4)</f>
        <v>0.97301830424092</v>
      </c>
      <c r="O49" s="25">
        <f t="shared" si="5"/>
        <v>5.14546281464631</v>
      </c>
      <c r="P49" s="12">
        <f t="shared" si="6"/>
        <v>0.00846721510010664</v>
      </c>
      <c r="Q49" s="26">
        <f t="shared" si="7"/>
        <v>0.862009720852786</v>
      </c>
      <c r="R49" s="12">
        <f t="shared" si="8"/>
        <v>0.00846721510010664</v>
      </c>
      <c r="S49" s="34">
        <f>L49-Q49*O49/((1-Q49)*$C$4)</f>
        <v>0.00744049861871561</v>
      </c>
    </row>
    <row r="50" ht="15" customHeight="1" spans="1:19">
      <c r="A50" s="12">
        <f>(700+172*$D$4^0.5)*10^(-6)</f>
        <v>0.00139821468050096</v>
      </c>
      <c r="B50" s="13">
        <f>0.157*$D$4^0.785-0.905</f>
        <v>0.511389449207738</v>
      </c>
      <c r="C50" s="12">
        <f t="shared" si="9"/>
        <v>0.00894857395520614</v>
      </c>
      <c r="D50" s="14">
        <v>6.4</v>
      </c>
      <c r="E50" s="13">
        <f>$D$4/$C$4/$A$7</f>
        <v>0.376452009597794</v>
      </c>
      <c r="F50" s="13">
        <f>$C$4*$A$7/($C$4*$A$7-$D$4)</f>
        <v>1.60372580040707</v>
      </c>
      <c r="G50" s="13">
        <f t="shared" si="10"/>
        <v>0.982336244621999</v>
      </c>
      <c r="H50" s="12">
        <f t="shared" si="2"/>
        <v>0.00894857395520614</v>
      </c>
      <c r="I50" s="25">
        <f>(1-G50)*$C$4*H50</f>
        <v>4.94851001834437</v>
      </c>
      <c r="J50" s="12">
        <f t="shared" si="3"/>
        <v>0.00890877273384787</v>
      </c>
      <c r="K50" s="25">
        <f t="shared" si="4"/>
        <v>4.9927921262116</v>
      </c>
      <c r="L50" s="12">
        <f>J50-K50/$C$4</f>
        <v>0.00874929285240865</v>
      </c>
      <c r="M50" s="26">
        <f>1-(K50/J50/$C$4)^0.5</f>
        <v>0.866203728218225</v>
      </c>
      <c r="N50" s="27">
        <f>1-(K50/$C$4)/(0.7*L50*(1/0.5-1)+K50/$C$4)</f>
        <v>0.974621218139087</v>
      </c>
      <c r="O50" s="25">
        <f t="shared" si="5"/>
        <v>4.9927921262116</v>
      </c>
      <c r="P50" s="12">
        <f t="shared" si="6"/>
        <v>0.00874929285240865</v>
      </c>
      <c r="Q50" s="26">
        <f t="shared" si="7"/>
        <v>0.866203728218225</v>
      </c>
      <c r="R50" s="12">
        <f t="shared" si="8"/>
        <v>0.00874929285240865</v>
      </c>
      <c r="S50" s="34">
        <f>L50-Q50*O50/((1-Q50)*$C$4)</f>
        <v>0.0077168121559079</v>
      </c>
    </row>
    <row r="51" ht="15" customHeight="1" spans="1:19">
      <c r="A51" s="12">
        <f>(700+172*$D$4^0.5)*10^(-6)</f>
        <v>0.00139821468050096</v>
      </c>
      <c r="B51" s="13">
        <f>0.157*$D$4^0.785-0.905</f>
        <v>0.511389449207738</v>
      </c>
      <c r="C51" s="12">
        <f t="shared" si="9"/>
        <v>0.00922821689130633</v>
      </c>
      <c r="D51" s="14">
        <v>6.6</v>
      </c>
      <c r="E51" s="13">
        <f>$D$4/$C$4/$A$7</f>
        <v>0.376452009597794</v>
      </c>
      <c r="F51" s="13">
        <f>$C$4*$A$7/($C$4*$A$7-$D$4)</f>
        <v>1.60372580040707</v>
      </c>
      <c r="G51" s="13">
        <f t="shared" si="10"/>
        <v>0.983370184630244</v>
      </c>
      <c r="H51" s="12">
        <f t="shared" si="2"/>
        <v>0.00922821689130633</v>
      </c>
      <c r="I51" s="25">
        <f>(1-G51)*$C$4*H51</f>
        <v>4.8044403012347</v>
      </c>
      <c r="J51" s="12">
        <f t="shared" si="3"/>
        <v>0.00918589705631362</v>
      </c>
      <c r="K51" s="25">
        <f t="shared" si="4"/>
        <v>4.84877671837583</v>
      </c>
      <c r="L51" s="12">
        <f>J51-K51/$C$4</f>
        <v>0.00903101731835855</v>
      </c>
      <c r="M51" s="26">
        <f>1-(K51/J51/$C$4)^0.5</f>
        <v>0.870151626029108</v>
      </c>
      <c r="N51" s="27">
        <f>1-(K51/$C$4)/(0.7*L51*(1/0.5-1)+K51/$C$4)</f>
        <v>0.976086228485023</v>
      </c>
      <c r="O51" s="25">
        <f t="shared" si="5"/>
        <v>4.84877671837583</v>
      </c>
      <c r="P51" s="12">
        <f t="shared" si="6"/>
        <v>0.00903101731835855</v>
      </c>
      <c r="Q51" s="26">
        <f t="shared" si="7"/>
        <v>0.870151626029108</v>
      </c>
      <c r="R51" s="12">
        <f t="shared" si="8"/>
        <v>0.00903101731835855</v>
      </c>
      <c r="S51" s="34">
        <f>L51-Q51*O51/((1-Q51)*$C$4)</f>
        <v>0.0079931232600873</v>
      </c>
    </row>
    <row r="52" ht="16.5" customHeight="1" spans="1:19">
      <c r="A52" s="12">
        <f>(700+172*$D$4^0.5)*10^(-6)</f>
        <v>0.00139821468050096</v>
      </c>
      <c r="B52" s="13">
        <f>0.157*$D$4^0.785-0.905</f>
        <v>0.511389449207738</v>
      </c>
      <c r="C52" s="12">
        <f t="shared" si="9"/>
        <v>0.00950785982740652</v>
      </c>
      <c r="D52" s="14">
        <v>6.8</v>
      </c>
      <c r="E52" s="13">
        <f>$D$4/$C$4/$A$7</f>
        <v>0.376452009597794</v>
      </c>
      <c r="F52" s="13">
        <f>$C$4*$A$7/($C$4*$A$7-$D$4)</f>
        <v>1.60372580040707</v>
      </c>
      <c r="G52" s="13">
        <f t="shared" si="10"/>
        <v>0.984316552217945</v>
      </c>
      <c r="H52" s="12">
        <f t="shared" si="2"/>
        <v>0.00950785982740652</v>
      </c>
      <c r="I52" s="25">
        <f>(1-G52)*$C$4*H52</f>
        <v>4.66833370716045</v>
      </c>
      <c r="J52" s="12">
        <f t="shared" si="3"/>
        <v>0.00946294460216567</v>
      </c>
      <c r="K52" s="25">
        <f t="shared" si="4"/>
        <v>4.71271956967569</v>
      </c>
      <c r="L52" s="12">
        <f>J52-K52/$C$4</f>
        <v>0.00931241080479757</v>
      </c>
      <c r="M52" s="26">
        <f>1-(K52/J52/$C$4)^0.5</f>
        <v>0.873874221523553</v>
      </c>
      <c r="N52" s="27">
        <f>1-(K52/$C$4)/(0.7*L52*(1/0.5-1)+K52/$C$4)</f>
        <v>0.97742857985573</v>
      </c>
      <c r="O52" s="25">
        <f t="shared" si="5"/>
        <v>4.71271956967569</v>
      </c>
      <c r="P52" s="12">
        <f t="shared" si="6"/>
        <v>0.00931241080479757</v>
      </c>
      <c r="Q52" s="26">
        <f t="shared" si="7"/>
        <v>0.873874221523553</v>
      </c>
      <c r="R52" s="12">
        <f t="shared" si="8"/>
        <v>0.00931241080479757</v>
      </c>
      <c r="S52" s="34">
        <f>L52-Q52*O52/((1-Q52)*$C$4)</f>
        <v>0.00826942334753803</v>
      </c>
    </row>
    <row r="53" ht="16.5" customHeight="1" spans="1:19">
      <c r="A53" s="12">
        <f>(700+172*$D$4^0.5)*10^(-6)</f>
        <v>0.00139821468050096</v>
      </c>
      <c r="B53" s="13">
        <f>0.157*$D$4^0.785-0.905</f>
        <v>0.511389449207738</v>
      </c>
      <c r="C53" s="12">
        <f t="shared" si="9"/>
        <v>0.00978750276350672</v>
      </c>
      <c r="D53" s="14">
        <v>7</v>
      </c>
      <c r="E53" s="13">
        <f>$D$4/$C$4/$A$7</f>
        <v>0.376452009597794</v>
      </c>
      <c r="F53" s="13">
        <f>$C$4*$A$7/($C$4*$A$7-$D$4)</f>
        <v>1.60372580040707</v>
      </c>
      <c r="G53" s="13">
        <f t="shared" si="10"/>
        <v>0.985184899222538</v>
      </c>
      <c r="H53" s="12">
        <f t="shared" si="2"/>
        <v>0.00978750276350672</v>
      </c>
      <c r="I53" s="25">
        <f>(1-G53)*$C$4*H53</f>
        <v>4.5395634252015</v>
      </c>
      <c r="J53" s="12">
        <f t="shared" si="3"/>
        <v>0.00973991541393355</v>
      </c>
      <c r="K53" s="25">
        <f t="shared" si="4"/>
        <v>4.58399441477077</v>
      </c>
      <c r="L53" s="12">
        <f>J53-K53/$C$4</f>
        <v>0.00959349335843724</v>
      </c>
      <c r="M53" s="26">
        <f>1-(K53/J53/$C$4)^0.5</f>
        <v>0.8773900664696</v>
      </c>
      <c r="N53" s="27">
        <f>1-(K53/$C$4)/(0.7*L53*(1/0.5-1)+K53/$C$4)</f>
        <v>0.978661485740793</v>
      </c>
      <c r="O53" s="25">
        <f t="shared" si="5"/>
        <v>4.58399441477077</v>
      </c>
      <c r="P53" s="12">
        <f t="shared" si="6"/>
        <v>0.00959349335843724</v>
      </c>
      <c r="Q53" s="26">
        <f t="shared" si="7"/>
        <v>0.8773900664696</v>
      </c>
      <c r="R53" s="12">
        <f t="shared" si="8"/>
        <v>0.00959349335843724</v>
      </c>
      <c r="S53" s="34">
        <f>L53-Q53*O53/((1-Q53)*$C$4)</f>
        <v>0.00854570503243944</v>
      </c>
    </row>
    <row r="54" ht="16.5" customHeight="1" spans="1:19">
      <c r="A54" s="12">
        <f>(700+172*$D$4^0.5)*10^(-6)</f>
        <v>0.00139821468050096</v>
      </c>
      <c r="B54" s="13">
        <f>0.157*$D$4^0.785-0.905</f>
        <v>0.511389449207738</v>
      </c>
      <c r="C54" s="12">
        <f t="shared" si="9"/>
        <v>0.0100671456996069</v>
      </c>
      <c r="D54" s="14">
        <v>7.2</v>
      </c>
      <c r="E54" s="13">
        <f>$D$4/$C$4/$A$7</f>
        <v>0.376452009597794</v>
      </c>
      <c r="F54" s="13">
        <f>$C$4*$A$7/($C$4*$A$7-$D$4)</f>
        <v>1.60372580040707</v>
      </c>
      <c r="G54" s="13">
        <f t="shared" si="10"/>
        <v>0.985983518253904</v>
      </c>
      <c r="H54" s="12">
        <f t="shared" si="2"/>
        <v>0.0100671456996069</v>
      </c>
      <c r="I54" s="25">
        <f>(1-G54)*$C$4*H54</f>
        <v>4.41756502031774</v>
      </c>
      <c r="J54" s="12">
        <f t="shared" si="3"/>
        <v>0.0100168095341115</v>
      </c>
      <c r="K54" s="25">
        <f t="shared" si="4"/>
        <v>4.46203729101477</v>
      </c>
      <c r="L54" s="12">
        <f>J54-K54/$C$4</f>
        <v>0.00987428303587965</v>
      </c>
      <c r="M54" s="26">
        <f>1-(K54/J54/$C$4)^0.5</f>
        <v>0.880715751301304</v>
      </c>
      <c r="N54" s="27">
        <f>1-(K54/$C$4)/(0.7*L54*(1/0.5-1)+K54/$C$4)</f>
        <v>0.9797964418807</v>
      </c>
      <c r="O54" s="25">
        <f t="shared" si="5"/>
        <v>4.46203729101477</v>
      </c>
      <c r="P54" s="12">
        <f t="shared" si="6"/>
        <v>0.00987428303587965</v>
      </c>
      <c r="Q54" s="26">
        <f t="shared" si="7"/>
        <v>0.880715751301304</v>
      </c>
      <c r="R54" s="12">
        <f t="shared" si="8"/>
        <v>0.00987428303587965</v>
      </c>
      <c r="S54" s="34">
        <f>L54-Q54*O54/((1-Q54)*$C$4)</f>
        <v>0.00882196193447705</v>
      </c>
    </row>
    <row r="55" ht="16.5" customHeight="1" spans="1:19">
      <c r="A55" s="12">
        <f>(700+172*$D$4^0.5)*10^(-6)</f>
        <v>0.00139821468050096</v>
      </c>
      <c r="B55" s="13">
        <f>0.157*$D$4^0.785-0.905</f>
        <v>0.511389449207738</v>
      </c>
      <c r="C55" s="12">
        <f t="shared" si="9"/>
        <v>0.0103467886357071</v>
      </c>
      <c r="D55" s="14">
        <v>7.4</v>
      </c>
      <c r="E55" s="13">
        <f>$D$4/$C$4/$A$7</f>
        <v>0.376452009597794</v>
      </c>
      <c r="F55" s="13">
        <f>$C$4*$A$7/($C$4*$A$7-$D$4)</f>
        <v>1.60372580040707</v>
      </c>
      <c r="G55" s="13">
        <f t="shared" si="10"/>
        <v>0.986719635497706</v>
      </c>
      <c r="H55" s="12">
        <f t="shared" si="2"/>
        <v>0.0103467886357071</v>
      </c>
      <c r="I55" s="25">
        <f>(1-G55)*$C$4*H55</f>
        <v>4.30182910053471</v>
      </c>
      <c r="J55" s="12">
        <f t="shared" si="3"/>
        <v>0.010293627005159</v>
      </c>
      <c r="K55" s="25">
        <f t="shared" si="4"/>
        <v>4.34633921698487</v>
      </c>
      <c r="L55" s="12">
        <f>J55-K55/$C$4</f>
        <v>0.0101547961374807</v>
      </c>
      <c r="M55" s="26">
        <f>1-(K55/J55/$C$4)^0.5</f>
        <v>0.883866154927073</v>
      </c>
      <c r="N55" s="27">
        <f>1-(K55/$C$4)/(0.7*L55*(1/0.5-1)+K55/$C$4)</f>
        <v>0.980843485150617</v>
      </c>
      <c r="O55" s="25">
        <f t="shared" si="5"/>
        <v>4.34633921698487</v>
      </c>
      <c r="P55" s="12">
        <f t="shared" si="6"/>
        <v>0.0101547961374807</v>
      </c>
      <c r="Q55" s="26">
        <f t="shared" si="7"/>
        <v>0.883866154927073</v>
      </c>
      <c r="R55" s="12">
        <f t="shared" si="8"/>
        <v>0.0101547961374807</v>
      </c>
      <c r="S55" s="34">
        <f>L55-Q55*O55/((1-Q55)*$C$4)</f>
        <v>0.0090981885213034</v>
      </c>
    </row>
    <row r="56" ht="16.5" customHeight="1" spans="1:19">
      <c r="A56" s="12">
        <f>(700+172*$D$4^0.5)*10^(-6)</f>
        <v>0.00139821468050096</v>
      </c>
      <c r="B56" s="13">
        <f>0.157*$D$4^0.785-0.905</f>
        <v>0.511389449207738</v>
      </c>
      <c r="C56" s="12">
        <f t="shared" si="9"/>
        <v>0.0106264315718073</v>
      </c>
      <c r="D56" s="14">
        <v>7.6</v>
      </c>
      <c r="E56" s="13">
        <f>$D$4/$C$4/$A$7</f>
        <v>0.376452009597794</v>
      </c>
      <c r="F56" s="13">
        <f>$C$4*$A$7/($C$4*$A$7-$D$4)</f>
        <v>1.60372580040707</v>
      </c>
      <c r="G56" s="13">
        <f t="shared" si="10"/>
        <v>0.987399570156314</v>
      </c>
      <c r="H56" s="12">
        <f t="shared" si="2"/>
        <v>0.0106264315718073</v>
      </c>
      <c r="I56" s="25">
        <f>(1-G56)*$C$4*H56</f>
        <v>4.19189495547838</v>
      </c>
      <c r="J56" s="12">
        <f t="shared" si="3"/>
        <v>0.0105703678694997</v>
      </c>
      <c r="K56" s="25">
        <f t="shared" si="4"/>
        <v>4.23643984037897</v>
      </c>
      <c r="L56" s="12">
        <f>J56-K56/$C$4</f>
        <v>0.0104350474102478</v>
      </c>
      <c r="M56" s="26">
        <f>1-(K56/J56/$C$4)^0.5</f>
        <v>0.886854657717944</v>
      </c>
      <c r="N56" s="27">
        <f>1-(K56/$C$4)/(0.7*L56*(1/0.5-1)+K56/$C$4)</f>
        <v>0.981811408438541</v>
      </c>
      <c r="O56" s="25">
        <f t="shared" si="5"/>
        <v>4.23643984037897</v>
      </c>
      <c r="P56" s="12">
        <f t="shared" si="6"/>
        <v>0.0104350474102478</v>
      </c>
      <c r="Q56" s="26">
        <f t="shared" si="7"/>
        <v>0.886854657717944</v>
      </c>
      <c r="R56" s="12">
        <f t="shared" si="8"/>
        <v>0.0104350474102478</v>
      </c>
      <c r="S56" s="34">
        <f>L56-Q56*O56/((1-Q56)*$C$4)</f>
        <v>0.00937437997885791</v>
      </c>
    </row>
    <row r="57" ht="16.5" customHeight="1" spans="1:19">
      <c r="A57" s="12">
        <f>(700+172*$D$4^0.5)*10^(-6)</f>
        <v>0.00139821468050096</v>
      </c>
      <c r="B57" s="13">
        <f>0.157*$D$4^0.785-0.905</f>
        <v>0.511389449207738</v>
      </c>
      <c r="C57" s="12">
        <f t="shared" si="9"/>
        <v>0.0109060745079075</v>
      </c>
      <c r="D57" s="14">
        <v>7.8</v>
      </c>
      <c r="E57" s="13">
        <f>$D$4/$C$4/$A$7</f>
        <v>0.376452009597794</v>
      </c>
      <c r="F57" s="13">
        <f>$C$4*$A$7/($C$4*$A$7-$D$4)</f>
        <v>1.60372580040707</v>
      </c>
      <c r="G57" s="13">
        <f t="shared" si="10"/>
        <v>0.988028866923267</v>
      </c>
      <c r="H57" s="12">
        <f t="shared" si="2"/>
        <v>0.0109060745079075</v>
      </c>
      <c r="I57" s="25">
        <f>(1-G57)*$C$4*H57</f>
        <v>4.08734502701315</v>
      </c>
      <c r="J57" s="12">
        <f t="shared" si="3"/>
        <v>0.0108470321695226</v>
      </c>
      <c r="K57" s="25">
        <f t="shared" si="4"/>
        <v>4.13192191641728</v>
      </c>
      <c r="L57" s="12">
        <f>J57-K57/$C$4</f>
        <v>0.0107150502242125</v>
      </c>
      <c r="M57" s="26">
        <f>1-(K57/J57/$C$4)^0.5</f>
        <v>0.889693323783791</v>
      </c>
      <c r="N57" s="27">
        <f>1-(K57/$C$4)/(0.7*L57*(1/0.5-1)+K57/$C$4)</f>
        <v>0.982707939786858</v>
      </c>
      <c r="O57" s="25">
        <f t="shared" si="5"/>
        <v>4.13192191641728</v>
      </c>
      <c r="P57" s="12">
        <f t="shared" si="6"/>
        <v>0.0107150502242125</v>
      </c>
      <c r="Q57" s="26">
        <f t="shared" si="7"/>
        <v>0.889693323783791</v>
      </c>
      <c r="R57" s="12">
        <f t="shared" si="8"/>
        <v>0.0107150502242125</v>
      </c>
      <c r="S57" s="34">
        <f>L57-Q57*O57/((1-Q57)*$C$4)</f>
        <v>0.00965053210409224</v>
      </c>
    </row>
    <row r="58" ht="16.5" customHeight="1" spans="1:19">
      <c r="A58" s="12">
        <f>(700+172*$D$4^0.5)*10^(-6)</f>
        <v>0.00139821468050096</v>
      </c>
      <c r="B58" s="13">
        <f>0.157*$D$4^0.785-0.905</f>
        <v>0.511389449207738</v>
      </c>
      <c r="C58" s="12">
        <f t="shared" si="9"/>
        <v>0.0111857174440077</v>
      </c>
      <c r="D58" s="14">
        <v>8</v>
      </c>
      <c r="E58" s="13">
        <f>$D$4/$C$4/$A$7</f>
        <v>0.376452009597794</v>
      </c>
      <c r="F58" s="13">
        <f>$C$4*$A$7/($C$4*$A$7-$D$4)</f>
        <v>1.60372580040707</v>
      </c>
      <c r="G58" s="13">
        <f t="shared" si="10"/>
        <v>0.988612406549088</v>
      </c>
      <c r="H58" s="12">
        <f t="shared" si="2"/>
        <v>0.0111857174440077</v>
      </c>
      <c r="I58" s="25">
        <f>(1-G58)*$C$4*H58</f>
        <v>3.98780009338002</v>
      </c>
      <c r="J58" s="12">
        <f t="shared" si="3"/>
        <v>0.0111236199475809</v>
      </c>
      <c r="K58" s="25">
        <f t="shared" si="4"/>
        <v>4.03240649844776</v>
      </c>
      <c r="L58" s="12">
        <f>J58-K58/$C$4</f>
        <v>0.0109948167260506</v>
      </c>
      <c r="M58" s="26">
        <f>1-(K58/J58/$C$4)^0.5</f>
        <v>0.89239305752822</v>
      </c>
      <c r="N58" s="27">
        <f>1-(K58/$C$4)/(0.7*L58*(1/0.5-1)+K58/$C$4)</f>
        <v>0.983539892374756</v>
      </c>
      <c r="O58" s="25">
        <f t="shared" si="5"/>
        <v>4.03240649844776</v>
      </c>
      <c r="P58" s="12">
        <f t="shared" si="6"/>
        <v>0.0109948167260506</v>
      </c>
      <c r="Q58" s="26">
        <f t="shared" si="7"/>
        <v>0.89239305752822</v>
      </c>
      <c r="R58" s="12">
        <f t="shared" si="8"/>
        <v>0.0109948167260506</v>
      </c>
      <c r="S58" s="34">
        <f>L58-Q58*O58/((1-Q58)*$C$4)</f>
        <v>0.00992664121580365</v>
      </c>
    </row>
    <row r="59" ht="16.5" customHeight="1" spans="1:19">
      <c r="A59" s="12">
        <f>(700+172*$D$4^0.5)*10^(-6)</f>
        <v>0.00139821468050096</v>
      </c>
      <c r="B59" s="13">
        <f>0.157*$D$4^0.785-0.905</f>
        <v>0.511389449207738</v>
      </c>
      <c r="C59" s="12">
        <f t="shared" si="9"/>
        <v>0.0114653603801079</v>
      </c>
      <c r="D59" s="14">
        <v>8.2</v>
      </c>
      <c r="E59" s="13">
        <f>$D$4/$C$4/$A$7</f>
        <v>0.376452009597794</v>
      </c>
      <c r="F59" s="13">
        <f>$C$4*$A$7/($C$4*$A$7-$D$4)</f>
        <v>1.60372580040707</v>
      </c>
      <c r="G59" s="13">
        <f t="shared" si="10"/>
        <v>0.989154498520061</v>
      </c>
      <c r="H59" s="12">
        <f t="shared" si="2"/>
        <v>0.0114653603801079</v>
      </c>
      <c r="I59" s="25">
        <f>(1-G59)*$C$4*H59</f>
        <v>3.89291506593671</v>
      </c>
      <c r="J59" s="12">
        <f t="shared" si="3"/>
        <v>0.011400131245993</v>
      </c>
      <c r="K59" s="25">
        <f t="shared" si="4"/>
        <v>3.93754874009682</v>
      </c>
      <c r="L59" s="12">
        <f>J59-K59/$C$4</f>
        <v>0.0112743579731713</v>
      </c>
      <c r="M59" s="26">
        <f>1-(K59/J59/$C$4)^0.5</f>
        <v>0.894963738577601</v>
      </c>
      <c r="N59" s="27">
        <f>1-(K59/$C$4)/(0.7*L59*(1/0.5-1)+K59/$C$4)</f>
        <v>0.984313290599637</v>
      </c>
      <c r="O59" s="25">
        <f t="shared" si="5"/>
        <v>3.93754874009682</v>
      </c>
      <c r="P59" s="12">
        <f t="shared" si="6"/>
        <v>0.0112743579731713</v>
      </c>
      <c r="Q59" s="26">
        <f t="shared" si="7"/>
        <v>0.894963738577601</v>
      </c>
      <c r="R59" s="12">
        <f t="shared" si="8"/>
        <v>0.0112743579731713</v>
      </c>
      <c r="S59" s="34">
        <f>L59-Q59*O59/((1-Q59)*$C$4)</f>
        <v>0.0102027040801892</v>
      </c>
    </row>
    <row r="60" ht="16.5" customHeight="1" spans="1:19">
      <c r="A60" s="12">
        <f>(700+172*$D$4^0.5)*10^(-6)</f>
        <v>0.00139821468050096</v>
      </c>
      <c r="B60" s="13">
        <f>0.157*$D$4^0.785-0.905</f>
        <v>0.511389449207738</v>
      </c>
      <c r="C60" s="12">
        <f t="shared" si="9"/>
        <v>0.0117450033162081</v>
      </c>
      <c r="D60" s="14">
        <v>8.4</v>
      </c>
      <c r="E60" s="13">
        <f>$D$4/$C$4/$A$7</f>
        <v>0.376452009597794</v>
      </c>
      <c r="F60" s="13">
        <f>$C$4*$A$7/($C$4*$A$7-$D$4)</f>
        <v>1.60372580040707</v>
      </c>
      <c r="G60" s="13">
        <f t="shared" si="10"/>
        <v>0.989658959064468</v>
      </c>
      <c r="H60" s="12">
        <f t="shared" si="2"/>
        <v>0.0117450033162081</v>
      </c>
      <c r="I60" s="25">
        <f>(1-G60)*$C$4*H60</f>
        <v>3.80237531269731</v>
      </c>
      <c r="J60" s="12">
        <f t="shared" si="3"/>
        <v>0.0116765661070424</v>
      </c>
      <c r="K60" s="25">
        <f t="shared" si="4"/>
        <v>3.84703422335441</v>
      </c>
      <c r="L60" s="12">
        <f>J60-K60/$C$4</f>
        <v>0.0115536840510056</v>
      </c>
      <c r="M60" s="26">
        <f>1-(K60/J60/$C$4)^0.5</f>
        <v>0.897414338458703</v>
      </c>
      <c r="N60" s="27">
        <f>1-(K60/$C$4)/(0.7*L60*(1/0.5-1)+K60/$C$4)</f>
        <v>0.985033476481155</v>
      </c>
      <c r="O60" s="25">
        <f t="shared" si="5"/>
        <v>3.84703422335441</v>
      </c>
      <c r="P60" s="12">
        <f t="shared" si="6"/>
        <v>0.0115536840510056</v>
      </c>
      <c r="Q60" s="26">
        <f t="shared" si="7"/>
        <v>0.897414338458703</v>
      </c>
      <c r="R60" s="12">
        <f t="shared" si="8"/>
        <v>0.0115536840510056</v>
      </c>
      <c r="S60" s="34">
        <f>L60-Q60*O60/((1-Q60)*$C$4)</f>
        <v>0.0104787178484207</v>
      </c>
    </row>
    <row r="61" ht="16.5" customHeight="1" spans="1:19">
      <c r="A61" s="12">
        <f>(700+172*$D$4^0.5)*10^(-6)</f>
        <v>0.00139821468050096</v>
      </c>
      <c r="B61" s="13">
        <f>0.157*$D$4^0.785-0.905</f>
        <v>0.511389449207738</v>
      </c>
      <c r="C61" s="12">
        <f t="shared" si="9"/>
        <v>0.0120246462523083</v>
      </c>
      <c r="D61" s="14">
        <v>8.6</v>
      </c>
      <c r="E61" s="13">
        <f>$D$4/$C$4/$A$7</f>
        <v>0.376452009597794</v>
      </c>
      <c r="F61" s="13">
        <f>$C$4*$A$7/($C$4*$A$7-$D$4)</f>
        <v>1.60372580040707</v>
      </c>
      <c r="G61" s="13">
        <f t="shared" si="10"/>
        <v>0.990129177068769</v>
      </c>
      <c r="H61" s="12">
        <f t="shared" si="2"/>
        <v>0.0120246462523083</v>
      </c>
      <c r="I61" s="25">
        <f>(1-G61)*$C$4*H61</f>
        <v>3.71589343567845</v>
      </c>
      <c r="J61" s="12">
        <f t="shared" si="3"/>
        <v>0.0119529245729769</v>
      </c>
      <c r="K61" s="25">
        <f t="shared" si="4"/>
        <v>3.76057573975376</v>
      </c>
      <c r="L61" s="12">
        <f>J61-K61/$C$4</f>
        <v>0.0118328041758207</v>
      </c>
      <c r="M61" s="26">
        <f>1-(K61/J61/$C$4)^0.5</f>
        <v>0.899753021816663</v>
      </c>
      <c r="N61" s="27">
        <f>1-(K61/$C$4)/(0.7*L61*(1/0.5-1)+K61/$C$4)</f>
        <v>0.985705199796478</v>
      </c>
      <c r="O61" s="25">
        <f t="shared" si="5"/>
        <v>3.76057573975376</v>
      </c>
      <c r="P61" s="12">
        <f t="shared" si="6"/>
        <v>0.0118328041758207</v>
      </c>
      <c r="Q61" s="26">
        <f t="shared" si="7"/>
        <v>0.899753021816663</v>
      </c>
      <c r="R61" s="12">
        <f t="shared" si="8"/>
        <v>0.0118328041758207</v>
      </c>
      <c r="S61" s="34">
        <f>L61-Q61*O61/((1-Q61)*$C$4)</f>
        <v>0.0107546800040826</v>
      </c>
    </row>
    <row r="62" ht="16.5" customHeight="1" spans="1:19">
      <c r="A62" s="12">
        <f>(700+172*$D$4^0.5)*10^(-6)</f>
        <v>0.00139821468050096</v>
      </c>
      <c r="B62" s="13">
        <f>0.157*$D$4^0.785-0.905</f>
        <v>0.511389449207738</v>
      </c>
      <c r="C62" s="12">
        <f t="shared" si="9"/>
        <v>0.0123042891884085</v>
      </c>
      <c r="D62" s="14">
        <v>8.80000000000001</v>
      </c>
      <c r="E62" s="13">
        <f>$D$4/$C$4/$A$7</f>
        <v>0.376452009597794</v>
      </c>
      <c r="F62" s="13">
        <f>$C$4*$A$7/($C$4*$A$7-$D$4)</f>
        <v>1.60372580040707</v>
      </c>
      <c r="G62" s="13">
        <f t="shared" si="10"/>
        <v>0.990568169988435</v>
      </c>
      <c r="H62" s="12">
        <f t="shared" si="2"/>
        <v>0.0123042891884085</v>
      </c>
      <c r="I62" s="25">
        <f>(1-G62)*$C$4*H62</f>
        <v>3.63320643991197</v>
      </c>
      <c r="J62" s="12">
        <f t="shared" si="3"/>
        <v>0.0122292066860103</v>
      </c>
      <c r="K62" s="25">
        <f t="shared" si="4"/>
        <v>3.67791046262984</v>
      </c>
      <c r="L62" s="12">
        <f>J62-K62/$C$4</f>
        <v>0.0121117267850457</v>
      </c>
      <c r="M62" s="26">
        <f>1-(K62/J62/$C$4)^0.5</f>
        <v>0.90198723449187</v>
      </c>
      <c r="N62" s="27">
        <f>1-(K62/$C$4)/(0.7*L62*(1/0.5-1)+K62/$C$4)</f>
        <v>0.986332694709943</v>
      </c>
      <c r="O62" s="25">
        <f t="shared" si="5"/>
        <v>3.67791046262984</v>
      </c>
      <c r="P62" s="12">
        <f t="shared" si="6"/>
        <v>0.0121117267850457</v>
      </c>
      <c r="Q62" s="26">
        <f t="shared" si="7"/>
        <v>0.90198723449187</v>
      </c>
      <c r="R62" s="12">
        <f t="shared" si="8"/>
        <v>0.0121117267850457</v>
      </c>
      <c r="S62" s="34">
        <f>L62-Q62*O62/((1-Q62)*$C$4)</f>
        <v>0.0110305883187439</v>
      </c>
    </row>
    <row r="63" ht="16.5" customHeight="1" spans="1:19">
      <c r="A63" s="12">
        <f>(700+172*$D$4^0.5)*10^(-6)</f>
        <v>0.00139821468050096</v>
      </c>
      <c r="B63" s="13">
        <f>0.157*$D$4^0.785-0.905</f>
        <v>0.511389449207738</v>
      </c>
      <c r="C63" s="12">
        <f t="shared" si="9"/>
        <v>0.0125839321245087</v>
      </c>
      <c r="D63" s="14">
        <v>9.00000000000001</v>
      </c>
      <c r="E63" s="13">
        <f>$D$4/$C$4/$A$7</f>
        <v>0.376452009597794</v>
      </c>
      <c r="F63" s="13">
        <f>$C$4*$A$7/($C$4*$A$7-$D$4)</f>
        <v>1.60372580040707</v>
      </c>
      <c r="G63" s="13">
        <f t="shared" si="10"/>
        <v>0.990978631444268</v>
      </c>
      <c r="H63" s="12">
        <f t="shared" si="2"/>
        <v>0.0125839321245087</v>
      </c>
      <c r="I63" s="25">
        <f>(1-G63)*$C$4*H63</f>
        <v>3.55407324115912</v>
      </c>
      <c r="J63" s="12">
        <f t="shared" si="3"/>
        <v>0.0125054124883205</v>
      </c>
      <c r="K63" s="25">
        <f t="shared" si="4"/>
        <v>3.5987974575914</v>
      </c>
      <c r="L63" s="12">
        <f>J63-K63/$C$4</f>
        <v>0.0123904596167905</v>
      </c>
      <c r="M63" s="26">
        <f>1-(K63/J63/$C$4)^0.5</f>
        <v>0.904123780388661</v>
      </c>
      <c r="N63" s="27">
        <f>1-(K63/$C$4)/(0.7*L63*(1/0.5-1)+K63/$C$4)</f>
        <v>0.986919745146896</v>
      </c>
      <c r="O63" s="25">
        <f t="shared" si="5"/>
        <v>3.5987974575914</v>
      </c>
      <c r="P63" s="12">
        <f t="shared" si="6"/>
        <v>0.0123904596167905</v>
      </c>
      <c r="Q63" s="26">
        <f t="shared" si="7"/>
        <v>0.904123780388661</v>
      </c>
      <c r="R63" s="12">
        <f t="shared" si="8"/>
        <v>0.0123904596167905</v>
      </c>
      <c r="S63" s="34">
        <f>L63-Q63*O63/((1-Q63)*$C$4)</f>
        <v>0.0113064408142599</v>
      </c>
    </row>
    <row r="64" ht="16.5" customHeight="1" spans="1:19">
      <c r="A64" s="12">
        <f>(700+172*$D$4^0.5)*10^(-6)</f>
        <v>0.00139821468050096</v>
      </c>
      <c r="B64" s="13">
        <f>0.157*$D$4^0.785-0.905</f>
        <v>0.511389449207738</v>
      </c>
      <c r="C64" s="12">
        <f t="shared" si="9"/>
        <v>0.0128635750606088</v>
      </c>
      <c r="D64" s="14">
        <v>9.20000000000001</v>
      </c>
      <c r="E64" s="13">
        <f>$D$4/$C$4/$A$7</f>
        <v>0.376452009597794</v>
      </c>
      <c r="F64" s="13">
        <f>$C$4*$A$7/($C$4*$A$7-$D$4)</f>
        <v>1.60372580040707</v>
      </c>
      <c r="G64" s="13">
        <f t="shared" si="10"/>
        <v>0.991362971881726</v>
      </c>
      <c r="H64" s="12">
        <f t="shared" si="2"/>
        <v>0.0128635750606088</v>
      </c>
      <c r="I64" s="25">
        <f>(1-G64)*$C$4*H64</f>
        <v>3.47827246712056</v>
      </c>
      <c r="J64" s="12">
        <f t="shared" si="3"/>
        <v>0.0127815420220506</v>
      </c>
      <c r="K64" s="25">
        <f t="shared" si="4"/>
        <v>3.52301548608262</v>
      </c>
      <c r="L64" s="12">
        <f>J64-K64/$C$4</f>
        <v>0.0126690097800052</v>
      </c>
      <c r="M64" s="26">
        <f>1-(K64/J64/$C$4)^0.5</f>
        <v>0.906168888753116</v>
      </c>
      <c r="N64" s="27">
        <f>1-(K64/$C$4)/(0.7*L64*(1/0.5-1)+K64/$C$4)</f>
        <v>0.987469740751162</v>
      </c>
      <c r="O64" s="25">
        <f t="shared" si="5"/>
        <v>3.52301548608262</v>
      </c>
      <c r="P64" s="12">
        <f t="shared" si="6"/>
        <v>0.0126690097800052</v>
      </c>
      <c r="Q64" s="26">
        <f t="shared" si="7"/>
        <v>0.906168888753116</v>
      </c>
      <c r="R64" s="12">
        <f t="shared" si="8"/>
        <v>0.0126690097800052</v>
      </c>
      <c r="S64" s="34">
        <f>L64-Q64*O64/((1-Q64)*$C$4)</f>
        <v>0.0115822357306728</v>
      </c>
    </row>
    <row r="65" ht="16.5" customHeight="1" spans="1:19">
      <c r="A65" s="12">
        <f>(700+172*$D$4^0.5)*10^(-6)</f>
        <v>0.00139821468050096</v>
      </c>
      <c r="B65" s="13">
        <f>0.157*$D$4^0.785-0.905</f>
        <v>0.511389449207738</v>
      </c>
      <c r="C65" s="12">
        <f t="shared" si="9"/>
        <v>0.013143217996709</v>
      </c>
      <c r="D65" s="14">
        <v>9.40000000000001</v>
      </c>
      <c r="E65" s="13">
        <f>$D$4/$C$4/$A$7</f>
        <v>0.376452009597794</v>
      </c>
      <c r="F65" s="13">
        <f>$C$4*$A$7/($C$4*$A$7-$D$4)</f>
        <v>1.60372580040707</v>
      </c>
      <c r="G65" s="13">
        <f t="shared" si="10"/>
        <v>0.991723353420321</v>
      </c>
      <c r="H65" s="12">
        <f t="shared" si="2"/>
        <v>0.013143217996709</v>
      </c>
      <c r="I65" s="25">
        <f>(1-G65)*$C$4*H65</f>
        <v>3.40560051349505</v>
      </c>
      <c r="J65" s="12">
        <f t="shared" si="3"/>
        <v>0.0130575953293094</v>
      </c>
      <c r="K65" s="25">
        <f t="shared" si="4"/>
        <v>3.45036106345362</v>
      </c>
      <c r="L65" s="12">
        <f>J65-K65/$C$4</f>
        <v>0.0129473838165101</v>
      </c>
      <c r="M65" s="26">
        <f>1-(K65/J65/$C$4)^0.5</f>
        <v>0.908128273217927</v>
      </c>
      <c r="N65" s="27">
        <f>1-(K65/$C$4)/(0.7*L65*(1/0.5-1)+K65/$C$4)</f>
        <v>0.987985724936243</v>
      </c>
      <c r="O65" s="25">
        <f t="shared" si="5"/>
        <v>3.45036106345362</v>
      </c>
      <c r="P65" s="12">
        <f t="shared" si="6"/>
        <v>0.0129473838165101</v>
      </c>
      <c r="Q65" s="26">
        <f t="shared" si="7"/>
        <v>0.908128273217927</v>
      </c>
      <c r="R65" s="12">
        <f t="shared" si="8"/>
        <v>0.0129473838165101</v>
      </c>
      <c r="S65" s="34">
        <f>L65-Q65*O65/((1-Q65)*$C$4)</f>
        <v>0.0118579714987842</v>
      </c>
    </row>
    <row r="66" ht="16.5" customHeight="1" spans="1:19">
      <c r="A66" s="12">
        <f>(700+172*$D$4^0.5)*10^(-6)</f>
        <v>0.00139821468050096</v>
      </c>
      <c r="B66" s="13">
        <f>0.157*$D$4^0.785-0.905</f>
        <v>0.511389449207738</v>
      </c>
      <c r="C66" s="12">
        <f t="shared" si="9"/>
        <v>0.0134228609328092</v>
      </c>
      <c r="D66" s="14">
        <v>9.60000000000001</v>
      </c>
      <c r="E66" s="13">
        <f>$D$4/$C$4/$A$7</f>
        <v>0.376452009597794</v>
      </c>
      <c r="F66" s="13">
        <f>$C$4*$A$7/($C$4*$A$7-$D$4)</f>
        <v>1.60372580040707</v>
      </c>
      <c r="G66" s="13">
        <f t="shared" si="10"/>
        <v>0.99206171981916</v>
      </c>
      <c r="H66" s="12">
        <f t="shared" si="2"/>
        <v>0.0134228609328092</v>
      </c>
      <c r="I66" s="25">
        <f>(1-G66)*$C$4*H66</f>
        <v>3.33586982179068</v>
      </c>
      <c r="J66" s="12">
        <f t="shared" si="3"/>
        <v>0.0133335724521702</v>
      </c>
      <c r="K66" s="25">
        <f t="shared" si="4"/>
        <v>3.38064673849854</v>
      </c>
      <c r="L66" s="12">
        <f>J66-K66/$C$4</f>
        <v>0.0132255877559492</v>
      </c>
      <c r="M66" s="26">
        <f>1-(K66/J66/$C$4)^0.5</f>
        <v>0.910007183758527</v>
      </c>
      <c r="N66" s="27">
        <f>1-(K66/$C$4)/(0.7*L66*(1/0.5-1)+K66/$C$4)</f>
        <v>0.988470436274824</v>
      </c>
      <c r="O66" s="25">
        <f t="shared" si="5"/>
        <v>3.38064673849854</v>
      </c>
      <c r="P66" s="12">
        <f t="shared" si="6"/>
        <v>0.0132255877559492</v>
      </c>
      <c r="Q66" s="26">
        <f t="shared" si="7"/>
        <v>0.910007183758527</v>
      </c>
      <c r="R66" s="12">
        <f t="shared" si="8"/>
        <v>0.0132255877559492</v>
      </c>
      <c r="S66" s="34">
        <f>L66-Q66*O66/((1-Q66)*$C$4)</f>
        <v>0.0121336467166397</v>
      </c>
    </row>
    <row r="67" ht="16.5" customHeight="1" spans="1:19">
      <c r="A67" s="12">
        <f>(700+172*$D$4^0.5)*10^(-6)</f>
        <v>0.00139821468050096</v>
      </c>
      <c r="B67" s="13">
        <f>0.157*$D$4^0.785-0.905</f>
        <v>0.511389449207738</v>
      </c>
      <c r="C67" s="12">
        <f t="shared" si="9"/>
        <v>0.0137025038689094</v>
      </c>
      <c r="D67" s="14">
        <v>9.80000000000001</v>
      </c>
      <c r="E67" s="13">
        <f>$D$4/$C$4/$A$7</f>
        <v>0.376452009597794</v>
      </c>
      <c r="F67" s="13">
        <f>$C$4*$A$7/($C$4*$A$7-$D$4)</f>
        <v>1.60372580040707</v>
      </c>
      <c r="G67" s="13">
        <f t="shared" si="10"/>
        <v>0.992379822322486</v>
      </c>
      <c r="H67" s="12">
        <f t="shared" si="2"/>
        <v>0.0137025038689094</v>
      </c>
      <c r="I67" s="25">
        <f>(1-G67)*$C$4*H67</f>
        <v>3.26890735049229</v>
      </c>
      <c r="J67" s="12">
        <f t="shared" si="3"/>
        <v>0.0136094734326715</v>
      </c>
      <c r="K67" s="25">
        <f t="shared" si="4"/>
        <v>3.31369956610952</v>
      </c>
      <c r="L67" s="12">
        <f>J67-K67/$C$4</f>
        <v>0.0135036271645776</v>
      </c>
      <c r="M67" s="26">
        <f>1-(K67/J67/$C$4)^0.5</f>
        <v>0.911810452527668</v>
      </c>
      <c r="N67" s="27">
        <f>1-(K67/$C$4)/(0.7*L67*(1/0.5-1)+K67/$C$4)</f>
        <v>0.98892634425619</v>
      </c>
      <c r="O67" s="25">
        <f t="shared" si="5"/>
        <v>3.31369956610952</v>
      </c>
      <c r="P67" s="12">
        <f t="shared" si="6"/>
        <v>0.0135036271645776</v>
      </c>
      <c r="Q67" s="26">
        <f t="shared" si="7"/>
        <v>0.911810452527668</v>
      </c>
      <c r="R67" s="12">
        <f t="shared" si="8"/>
        <v>0.0135036271645776</v>
      </c>
      <c r="S67" s="34">
        <f>L67-Q67*O67/((1-Q67)*$C$4)</f>
        <v>0.0124092601293075</v>
      </c>
    </row>
    <row r="68" ht="16.5" customHeight="1" spans="1:19">
      <c r="A68" s="12">
        <f>(700+172*$D$4^0.5)*10^(-6)</f>
        <v>0.00139821468050096</v>
      </c>
      <c r="B68" s="13">
        <f>0.157*$D$4^0.785-0.905</f>
        <v>0.511389449207738</v>
      </c>
      <c r="C68" s="12">
        <f t="shared" si="9"/>
        <v>0.0139821468050096</v>
      </c>
      <c r="D68" s="14">
        <v>10</v>
      </c>
      <c r="E68" s="13">
        <f>$D$4/$C$4/$A$7</f>
        <v>0.376452009597794</v>
      </c>
      <c r="F68" s="13">
        <f>$C$4*$A$7/($C$4*$A$7-$D$4)</f>
        <v>1.60372580040707</v>
      </c>
      <c r="G68" s="13">
        <f t="shared" si="10"/>
        <v>0.99267924201781</v>
      </c>
      <c r="H68" s="12">
        <f t="shared" si="2"/>
        <v>0.0139821468050096</v>
      </c>
      <c r="I68" s="25">
        <f>(1-G68)*$C$4*H68</f>
        <v>3.20455321517594</v>
      </c>
      <c r="J68" s="12">
        <f t="shared" si="3"/>
        <v>0.0138852983128177</v>
      </c>
      <c r="K68" s="25">
        <f t="shared" si="4"/>
        <v>3.249359748675</v>
      </c>
      <c r="L68" s="12">
        <f>J68-K68/$C$4</f>
        <v>0.0137815071886586</v>
      </c>
      <c r="M68" s="26">
        <f>1-(K68/J68/$C$4)^0.5</f>
        <v>0.913542534388719</v>
      </c>
      <c r="N68" s="27">
        <f>1-(K68/$C$4)/(0.7*L68*(1/0.5-1)+K68/$C$4)</f>
        <v>0.98935568026649</v>
      </c>
      <c r="O68" s="25">
        <f t="shared" si="5"/>
        <v>3.249359748675</v>
      </c>
      <c r="P68" s="12">
        <f t="shared" si="6"/>
        <v>0.0137815071886586</v>
      </c>
      <c r="Q68" s="26">
        <f t="shared" si="7"/>
        <v>0.913542534388719</v>
      </c>
      <c r="R68" s="12">
        <f t="shared" si="8"/>
        <v>0.0137815071886586</v>
      </c>
      <c r="S68" s="34">
        <f>L68-Q68*O68/((1-Q68)*$C$4)</f>
        <v>0.0126848106114349</v>
      </c>
    </row>
    <row r="69" ht="16.5" customHeight="1" spans="1:19">
      <c r="A69" s="12">
        <f>(700+172*$D$4^0.5)*10^(-6)</f>
        <v>0.00139821468050096</v>
      </c>
      <c r="B69" s="13">
        <f>0.157*$D$4^0.785-0.905</f>
        <v>0.511389449207738</v>
      </c>
      <c r="C69" s="12">
        <f t="shared" si="9"/>
        <v>0.0142617897411098</v>
      </c>
      <c r="D69" s="14">
        <v>10.2</v>
      </c>
      <c r="E69" s="13">
        <f>$D$4/$C$4/$A$7</f>
        <v>0.376452009597794</v>
      </c>
      <c r="F69" s="13">
        <f>$C$4*$A$7/($C$4*$A$7-$D$4)</f>
        <v>1.60372580040707</v>
      </c>
      <c r="G69" s="13">
        <f t="shared" si="10"/>
        <v>0.992961409232366</v>
      </c>
      <c r="H69" s="12">
        <f t="shared" si="2"/>
        <v>0.0142617897411098</v>
      </c>
      <c r="I69" s="25">
        <f>(1-G69)*$C$4*H69</f>
        <v>3.14265947654561</v>
      </c>
      <c r="J69" s="12">
        <f t="shared" si="3"/>
        <v>0.0141610471345775</v>
      </c>
      <c r="K69" s="25">
        <f t="shared" si="4"/>
        <v>3.18747942522801</v>
      </c>
      <c r="L69" s="12">
        <f>J69-K69/$C$4</f>
        <v>0.0140592325931395</v>
      </c>
      <c r="M69" s="26">
        <f>1-(K69/J69/$C$4)^0.5</f>
        <v>0.915207542845408</v>
      </c>
      <c r="N69" s="27">
        <f>1-(K69/$C$4)/(0.7*L69*(1/0.5-1)+K69/$C$4)</f>
        <v>0.989760464504189</v>
      </c>
      <c r="O69" s="25">
        <f t="shared" si="5"/>
        <v>3.18747942522801</v>
      </c>
      <c r="P69" s="12">
        <f t="shared" si="6"/>
        <v>0.0140592325931395</v>
      </c>
      <c r="Q69" s="26">
        <f t="shared" si="7"/>
        <v>0.915207542845408</v>
      </c>
      <c r="R69" s="12">
        <f t="shared" si="8"/>
        <v>0.0140592325931395</v>
      </c>
      <c r="S69" s="34">
        <f>L69-Q69*O69/((1-Q69)*$C$4)</f>
        <v>0.0129602971521547</v>
      </c>
    </row>
    <row r="70" ht="16.5" customHeight="1" spans="1:19">
      <c r="A70" s="12">
        <f>(700+172*$D$4^0.5)*10^(-6)</f>
        <v>0.00139821468050096</v>
      </c>
      <c r="B70" s="13">
        <f>0.157*$D$4^0.785-0.905</f>
        <v>0.511389449207738</v>
      </c>
      <c r="C70" s="12">
        <f t="shared" si="9"/>
        <v>0.01454143267721</v>
      </c>
      <c r="D70" s="14">
        <v>10.4</v>
      </c>
      <c r="E70" s="13">
        <f>$D$4/$C$4/$A$7</f>
        <v>0.376452009597794</v>
      </c>
      <c r="F70" s="13">
        <f>$C$4*$A$7/($C$4*$A$7-$D$4)</f>
        <v>1.60372580040707</v>
      </c>
      <c r="G70" s="13">
        <f t="shared" si="10"/>
        <v>0.99322762040644</v>
      </c>
      <c r="H70" s="12">
        <f t="shared" si="2"/>
        <v>0.01454143267721</v>
      </c>
      <c r="I70" s="25">
        <f>(1-G70)*$C$4*H70</f>
        <v>3.08308905824809</v>
      </c>
      <c r="J70" s="12">
        <f t="shared" si="3"/>
        <v>0.0144367199398857</v>
      </c>
      <c r="K70" s="25">
        <f t="shared" si="4"/>
        <v>3.12792159022645</v>
      </c>
      <c r="L70" s="12">
        <f>J70-K70/$C$4</f>
        <v>0.0143368077961893</v>
      </c>
      <c r="M70" s="26">
        <f>1-(K70/J70/$C$4)^0.5</f>
        <v>0.916809281963391</v>
      </c>
      <c r="N70" s="27">
        <f>1-(K70/$C$4)/(0.7*L70*(1/0.5-1)+K70/$C$4)</f>
        <v>0.990142529426322</v>
      </c>
      <c r="O70" s="25">
        <f t="shared" si="5"/>
        <v>3.12792159022645</v>
      </c>
      <c r="P70" s="12">
        <f t="shared" si="6"/>
        <v>0.0143368077961893</v>
      </c>
      <c r="Q70" s="26">
        <f t="shared" si="7"/>
        <v>0.916809281963391</v>
      </c>
      <c r="R70" s="12">
        <f t="shared" si="8"/>
        <v>0.0143368077961893</v>
      </c>
      <c r="S70" s="34">
        <f>L70-Q70*O70/((1-Q70)*$C$4)</f>
        <v>0.0132357188419932</v>
      </c>
    </row>
    <row r="71" ht="15" customHeight="1" spans="1:19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</row>
    <row r="72" ht="15" customHeight="1" spans="1:19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</row>
    <row r="73" ht="27.75" customHeight="1" spans="1:18">
      <c r="A73" s="10" t="s">
        <v>30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1"/>
      <c r="N73" s="22" t="s">
        <v>10</v>
      </c>
      <c r="O73" s="2"/>
      <c r="P73" s="2"/>
      <c r="Q73" s="21"/>
      <c r="R73" s="24" t="s">
        <v>11</v>
      </c>
    </row>
    <row r="74" ht="21.75" customHeight="1" spans="1:18">
      <c r="A74" s="11" t="s">
        <v>31</v>
      </c>
      <c r="B74" s="11" t="s">
        <v>32</v>
      </c>
      <c r="C74" s="11" t="s">
        <v>14</v>
      </c>
      <c r="D74" s="11" t="s">
        <v>15</v>
      </c>
      <c r="E74" s="11" t="s">
        <v>16</v>
      </c>
      <c r="F74" s="11" t="s">
        <v>33</v>
      </c>
      <c r="G74" s="11" t="s">
        <v>19</v>
      </c>
      <c r="H74" s="11" t="s">
        <v>20</v>
      </c>
      <c r="I74" s="11" t="s">
        <v>21</v>
      </c>
      <c r="J74" s="11" t="s">
        <v>22</v>
      </c>
      <c r="K74" s="11" t="s">
        <v>34</v>
      </c>
      <c r="L74" s="11" t="s">
        <v>24</v>
      </c>
      <c r="M74" s="11" t="s">
        <v>25</v>
      </c>
      <c r="N74" s="24" t="s">
        <v>26</v>
      </c>
      <c r="O74" s="24" t="s">
        <v>35</v>
      </c>
      <c r="P74" s="24" t="s">
        <v>28</v>
      </c>
      <c r="Q74" s="24" t="s">
        <v>35</v>
      </c>
      <c r="R74" s="11" t="s">
        <v>36</v>
      </c>
    </row>
    <row r="75" ht="16.5" customHeight="1" spans="1:18">
      <c r="A75" s="36">
        <f>$E$4/$C$4</f>
        <v>4.98128004152468e-5</v>
      </c>
      <c r="B75" s="37">
        <f>0.312*$E$4^2</f>
        <v>0.758772654620728</v>
      </c>
      <c r="C75" s="36">
        <f t="shared" ref="C75:C93" si="11">D75*A75</f>
        <v>4.98128004152468e-5</v>
      </c>
      <c r="D75" s="18">
        <v>1</v>
      </c>
      <c r="E75" s="18">
        <f>$E$4/$C$4/$A$75</f>
        <v>1</v>
      </c>
      <c r="F75" s="37">
        <f>1-E75*(1.2-0.2*D75^5)</f>
        <v>0</v>
      </c>
      <c r="G75" s="36">
        <f t="shared" ref="G75:G93" si="12">C75</f>
        <v>4.98128004152468e-5</v>
      </c>
      <c r="H75" s="38">
        <f>(1-F75)*$C$4*C75</f>
        <v>1.5594754363583</v>
      </c>
      <c r="I75" s="42">
        <f t="shared" ref="I75:I93" si="13">LN(1+G75)</f>
        <v>4.98115597988173e-5</v>
      </c>
      <c r="J75" s="38">
        <f t="shared" ref="J75:J93" si="14">H75*(1+G75)</f>
        <v>1.55955311819696</v>
      </c>
      <c r="K75" s="36">
        <f>G75-H75/$C$4</f>
        <v>0</v>
      </c>
      <c r="L75" s="43">
        <f>1-(H75/$C$4/G75)^0.5</f>
        <v>0</v>
      </c>
      <c r="M75" s="43">
        <f>1-(H75/$C$4)/(0.1*K75*(1/0.15-1)+H75/$C$4)</f>
        <v>0</v>
      </c>
      <c r="N75" s="44">
        <f t="shared" ref="N75:N93" si="15">H75</f>
        <v>1.5594754363583</v>
      </c>
      <c r="O75" s="29">
        <f t="shared" ref="O75:O93" si="16">K75</f>
        <v>0</v>
      </c>
      <c r="P75" s="33">
        <f t="shared" ref="P75:P93" si="17">L75</f>
        <v>0</v>
      </c>
      <c r="Q75" s="33">
        <f t="shared" ref="Q75:Q93" si="18">K75</f>
        <v>0</v>
      </c>
      <c r="R75" s="45">
        <f>K75-P75*N75/((1-P75)*$C$4)</f>
        <v>0</v>
      </c>
    </row>
    <row r="76" ht="16.5" customHeight="1" spans="1:18">
      <c r="A76" s="36">
        <f>$E$4/$C$4</f>
        <v>4.98128004152468e-5</v>
      </c>
      <c r="B76" s="37">
        <f>0.312*$E$4^2</f>
        <v>0.758772654620728</v>
      </c>
      <c r="C76" s="36">
        <f t="shared" si="11"/>
        <v>5.97753604982961e-5</v>
      </c>
      <c r="D76" s="18">
        <v>1.2</v>
      </c>
      <c r="E76" s="18">
        <f>$E$4/$C$4/$A$75</f>
        <v>1</v>
      </c>
      <c r="F76" s="37">
        <f t="shared" ref="F76:F93" si="19">1-E76/(B76*(D76-1)^1.7+D76)</f>
        <v>0.199480236173604</v>
      </c>
      <c r="G76" s="36">
        <f t="shared" si="12"/>
        <v>5.97753604982961e-5</v>
      </c>
      <c r="H76" s="38">
        <f>(1-F76)*$C$4*C76</f>
        <v>1.49806908960793</v>
      </c>
      <c r="I76" s="42">
        <f t="shared" si="13"/>
        <v>5.97735740226118e-5</v>
      </c>
      <c r="J76" s="38">
        <f t="shared" si="14"/>
        <v>1.49815863722781</v>
      </c>
      <c r="K76" s="36">
        <f>G76-H76/$C$4</f>
        <v>1.19240030295624e-5</v>
      </c>
      <c r="L76" s="43">
        <f>1-(H76/$C$4/G76)^0.5</f>
        <v>0.10528229936678</v>
      </c>
      <c r="M76" s="43">
        <f>1-(H76/$C$4)/(0.1*K76*(1/0.15-1)+H76/$C$4)</f>
        <v>0.123734596677909</v>
      </c>
      <c r="N76" s="44">
        <f t="shared" si="15"/>
        <v>1.49806908960793</v>
      </c>
      <c r="O76" s="29">
        <f t="shared" si="16"/>
        <v>1.19240030295624e-5</v>
      </c>
      <c r="P76" s="33">
        <f t="shared" si="17"/>
        <v>0.10528229936678</v>
      </c>
      <c r="Q76" s="33">
        <f t="shared" si="18"/>
        <v>1.19240030295624e-5</v>
      </c>
      <c r="R76" s="45">
        <f>K76-P76*N76/((1-P76)*$C$4)</f>
        <v>6.29328739873882e-6</v>
      </c>
    </row>
    <row r="77" ht="16.5" customHeight="1" spans="1:18">
      <c r="A77" s="36">
        <f>$E$4/$C$4</f>
        <v>4.98128004152468e-5</v>
      </c>
      <c r="B77" s="37">
        <f>0.312*$E$4^2</f>
        <v>0.758772654620728</v>
      </c>
      <c r="C77" s="36">
        <f t="shared" si="11"/>
        <v>6.97379205813455e-5</v>
      </c>
      <c r="D77" s="18">
        <v>1.4</v>
      </c>
      <c r="E77" s="18">
        <f>$E$4/$C$4/$A$75</f>
        <v>1</v>
      </c>
      <c r="F77" s="37">
        <f t="shared" si="19"/>
        <v>0.358897743617086</v>
      </c>
      <c r="G77" s="36">
        <f t="shared" si="12"/>
        <v>6.97379205813455e-5</v>
      </c>
      <c r="H77" s="38">
        <f>(1-F77)*$C$4*C77</f>
        <v>1.39969650943225</v>
      </c>
      <c r="I77" s="42">
        <f t="shared" si="13"/>
        <v>6.97354890056676e-5</v>
      </c>
      <c r="J77" s="38">
        <f t="shared" si="14"/>
        <v>1.39979412135626</v>
      </c>
      <c r="K77" s="36">
        <f>G77-H77/$C$4</f>
        <v>2.50287823411924e-5</v>
      </c>
      <c r="L77" s="43">
        <f>1-(H77/$C$4/G77)^0.5</f>
        <v>0.199311386128843</v>
      </c>
      <c r="M77" s="43">
        <f>1-(H77/$C$4)/(0.1*K77*(1/0.15-1)+H77/$C$4)</f>
        <v>0.240829806911383</v>
      </c>
      <c r="N77" s="44">
        <f t="shared" si="15"/>
        <v>1.39969650943225</v>
      </c>
      <c r="O77" s="29">
        <f t="shared" si="16"/>
        <v>2.50287823411924e-5</v>
      </c>
      <c r="P77" s="33">
        <f t="shared" si="17"/>
        <v>0.199311386128843</v>
      </c>
      <c r="Q77" s="33">
        <f t="shared" si="18"/>
        <v>2.50287823411924e-5</v>
      </c>
      <c r="R77" s="45">
        <f>K77-P77*N77/((1-P77)*$C$4)</f>
        <v>1.38995616168112e-5</v>
      </c>
    </row>
    <row r="78" ht="16.5" customHeight="1" spans="1:18">
      <c r="A78" s="36">
        <f>$E$4/$C$4</f>
        <v>4.98128004152468e-5</v>
      </c>
      <c r="B78" s="37">
        <f>0.312*$E$4^2</f>
        <v>0.758772654620728</v>
      </c>
      <c r="C78" s="36">
        <f t="shared" si="11"/>
        <v>7.97004806643949e-5</v>
      </c>
      <c r="D78" s="18">
        <v>1.6</v>
      </c>
      <c r="E78" s="18">
        <f>$E$4/$C$4/$A$75</f>
        <v>1</v>
      </c>
      <c r="F78" s="37">
        <f t="shared" si="19"/>
        <v>0.47873142778146</v>
      </c>
      <c r="G78" s="36">
        <f t="shared" si="12"/>
        <v>7.97004806643949e-5</v>
      </c>
      <c r="H78" s="38">
        <f>(1-F78)*$C$4*C78</f>
        <v>1.3006488545926</v>
      </c>
      <c r="I78" s="42">
        <f t="shared" si="13"/>
        <v>7.96973047497398e-5</v>
      </c>
      <c r="J78" s="38">
        <f t="shared" si="14"/>
        <v>1.30075251693148</v>
      </c>
      <c r="K78" s="36">
        <f>G78-H78/$C$4</f>
        <v>3.81551249033344e-5</v>
      </c>
      <c r="L78" s="43">
        <f>1-(H78/$C$4/G78)^0.5</f>
        <v>0.278010684138235</v>
      </c>
      <c r="M78" s="43">
        <f>1-(H78/$C$4)/(0.1*K78*(1/0.15-1)+H78/$C$4)</f>
        <v>0.342289117518406</v>
      </c>
      <c r="N78" s="44">
        <f t="shared" si="15"/>
        <v>1.3006488545926</v>
      </c>
      <c r="O78" s="29">
        <f t="shared" si="16"/>
        <v>3.81551249033344e-5</v>
      </c>
      <c r="P78" s="33">
        <f t="shared" si="17"/>
        <v>0.278010684138235</v>
      </c>
      <c r="Q78" s="33">
        <f t="shared" si="18"/>
        <v>3.81551249033344e-5</v>
      </c>
      <c r="R78" s="45">
        <f>K78-P78*N78/((1-P78)*$C$4)</f>
        <v>2.21575851556546e-5</v>
      </c>
    </row>
    <row r="79" ht="16.5" customHeight="1" spans="1:18">
      <c r="A79" s="36">
        <f>$E$4/$C$4</f>
        <v>4.98128004152468e-5</v>
      </c>
      <c r="B79" s="37">
        <f>0.312*$E$4^2</f>
        <v>0.758772654620728</v>
      </c>
      <c r="C79" s="36">
        <f t="shared" si="11"/>
        <v>8.96630407474442e-5</v>
      </c>
      <c r="D79" s="18">
        <v>1.8</v>
      </c>
      <c r="E79" s="18">
        <f>$E$4/$C$4/$A$75</f>
        <v>1</v>
      </c>
      <c r="F79" s="37">
        <f t="shared" si="19"/>
        <v>0.568823493748306</v>
      </c>
      <c r="G79" s="36">
        <f t="shared" si="12"/>
        <v>8.96630407474442e-5</v>
      </c>
      <c r="H79" s="38">
        <f>(1-F79)*$C$4*C79</f>
        <v>1.21033650642175</v>
      </c>
      <c r="I79" s="42">
        <f t="shared" si="13"/>
        <v>8.96590212572497e-5</v>
      </c>
      <c r="J79" s="38">
        <f t="shared" si="14"/>
        <v>1.21044502887325</v>
      </c>
      <c r="K79" s="36">
        <f>G79-H79/$C$4</f>
        <v>5.10024440980579e-5</v>
      </c>
      <c r="L79" s="43">
        <f>1-(H79/$C$4/G79)^0.5</f>
        <v>0.34335968273971</v>
      </c>
      <c r="M79" s="43">
        <f>1-(H79/$C$4)/(0.1*K79*(1/0.15-1)+H79/$C$4)</f>
        <v>0.427775862816341</v>
      </c>
      <c r="N79" s="44">
        <f t="shared" si="15"/>
        <v>1.21033650642175</v>
      </c>
      <c r="O79" s="29">
        <f t="shared" si="16"/>
        <v>5.10024440980579e-5</v>
      </c>
      <c r="P79" s="33">
        <f t="shared" si="17"/>
        <v>0.34335968273971</v>
      </c>
      <c r="Q79" s="33">
        <f t="shared" si="18"/>
        <v>5.10024440980579e-5</v>
      </c>
      <c r="R79" s="45">
        <f>K79-P79*N79/((1-P79)*$C$4)</f>
        <v>3.07866732245201e-5</v>
      </c>
    </row>
    <row r="80" ht="16.5" customHeight="1" spans="1:18">
      <c r="A80" s="36">
        <f>$E$4/$C$4</f>
        <v>4.98128004152468e-5</v>
      </c>
      <c r="B80" s="37">
        <f>0.312*$E$4^2</f>
        <v>0.758772654620728</v>
      </c>
      <c r="C80" s="36">
        <f t="shared" si="11"/>
        <v>9.96256008304936e-5</v>
      </c>
      <c r="D80" s="18">
        <v>2</v>
      </c>
      <c r="E80" s="18">
        <f>$E$4/$C$4/$A$75</f>
        <v>1</v>
      </c>
      <c r="F80" s="37">
        <f t="shared" si="19"/>
        <v>0.637519968046269</v>
      </c>
      <c r="G80" s="36">
        <f t="shared" si="12"/>
        <v>9.96256008304936e-5</v>
      </c>
      <c r="H80" s="38">
        <f>(1-F80)*$C$4*C80</f>
        <v>1.13055741200443</v>
      </c>
      <c r="I80" s="42">
        <f t="shared" si="13"/>
        <v>9.96206385299524e-5</v>
      </c>
      <c r="J80" s="38">
        <f t="shared" si="14"/>
        <v>1.13067004446587</v>
      </c>
      <c r="K80" s="36">
        <f>G80-H80/$C$4</f>
        <v>6.35133098580467e-5</v>
      </c>
      <c r="L80" s="43">
        <f>1-(H80/$C$4/G80)^0.5</f>
        <v>0.397936853848593</v>
      </c>
      <c r="M80" s="43">
        <f>1-(H80/$C$4)/(0.1*K80*(1/0.15-1)+H80/$C$4)</f>
        <v>0.499158044008222</v>
      </c>
      <c r="N80" s="44">
        <f t="shared" si="15"/>
        <v>1.13055741200443</v>
      </c>
      <c r="O80" s="29">
        <f t="shared" si="16"/>
        <v>6.35133098580467e-5</v>
      </c>
      <c r="P80" s="33">
        <f t="shared" si="17"/>
        <v>0.397936853848593</v>
      </c>
      <c r="Q80" s="33">
        <f t="shared" si="18"/>
        <v>6.35133098580467e-5</v>
      </c>
      <c r="R80" s="45">
        <f>K80-P80*N80/((1-P80)*$C$4)</f>
        <v>3.96446981572624e-5</v>
      </c>
    </row>
    <row r="81" ht="16.5" customHeight="1" spans="1:18">
      <c r="A81" s="36">
        <f>$E$4/$C$4</f>
        <v>4.98128004152468e-5</v>
      </c>
      <c r="B81" s="37">
        <f>0.312*$E$4^2</f>
        <v>0.758772654620728</v>
      </c>
      <c r="C81" s="36">
        <f t="shared" si="11"/>
        <v>0.000109588160913543</v>
      </c>
      <c r="D81" s="18">
        <v>2.2</v>
      </c>
      <c r="E81" s="18">
        <f>$E$4/$C$4/$A$75</f>
        <v>1</v>
      </c>
      <c r="F81" s="37">
        <f t="shared" si="19"/>
        <v>0.690830767001475</v>
      </c>
      <c r="G81" s="36">
        <f t="shared" si="12"/>
        <v>0.000109588160913543</v>
      </c>
      <c r="H81" s="38">
        <f>(1-F81)*$C$4*C81</f>
        <v>1.06071201398565</v>
      </c>
      <c r="I81" s="42">
        <f t="shared" si="13"/>
        <v>0.000109582156569603</v>
      </c>
      <c r="J81" s="38">
        <f t="shared" si="14"/>
        <v>1.06082825546453</v>
      </c>
      <c r="K81" s="36">
        <f>G81-H81/$C$4</f>
        <v>7.5706873258184e-5</v>
      </c>
      <c r="L81" s="43">
        <f>1-(H81/$C$4/G81)^0.5</f>
        <v>0.443970115013118</v>
      </c>
      <c r="M81" s="43">
        <f>1-(H81/$C$4)/(0.1*K81*(1/0.15-1)+H81/$C$4)</f>
        <v>0.55873311176603</v>
      </c>
      <c r="N81" s="44">
        <f t="shared" si="15"/>
        <v>1.06071201398565</v>
      </c>
      <c r="O81" s="29">
        <f t="shared" si="16"/>
        <v>7.5706873258184e-5</v>
      </c>
      <c r="P81" s="33">
        <f t="shared" si="17"/>
        <v>0.443970115013118</v>
      </c>
      <c r="Q81" s="33">
        <f t="shared" si="18"/>
        <v>7.5706873258184e-5</v>
      </c>
      <c r="R81" s="45">
        <f>K81-P81*N81/((1-P81)*$C$4)</f>
        <v>4.86538684048618e-5</v>
      </c>
    </row>
    <row r="82" ht="16.5" customHeight="1" spans="1:18">
      <c r="A82" s="36">
        <f>$E$4/$C$4</f>
        <v>4.98128004152468e-5</v>
      </c>
      <c r="B82" s="37">
        <f>0.312*$E$4^2</f>
        <v>0.758772654620728</v>
      </c>
      <c r="C82" s="36">
        <f t="shared" si="11"/>
        <v>0.000119550720996592</v>
      </c>
      <c r="D82" s="18">
        <v>2.4</v>
      </c>
      <c r="E82" s="18">
        <f>$E$4/$C$4/$A$75</f>
        <v>1</v>
      </c>
      <c r="F82" s="37">
        <f t="shared" si="19"/>
        <v>0.732934698320346</v>
      </c>
      <c r="G82" s="36">
        <f t="shared" si="12"/>
        <v>0.000119550720996592</v>
      </c>
      <c r="H82" s="38">
        <f>(1-F82)*$C$4*C82</f>
        <v>0.999556266895293</v>
      </c>
      <c r="I82" s="42">
        <f t="shared" si="13"/>
        <v>0.000119543575378622</v>
      </c>
      <c r="J82" s="38">
        <f t="shared" si="14"/>
        <v>0.999675764567677</v>
      </c>
      <c r="K82" s="36">
        <f>G82-H82/$C$4</f>
        <v>8.76228716276172e-5</v>
      </c>
      <c r="L82" s="43">
        <f>1-(H82/$C$4/G82)^0.5</f>
        <v>0.483216387953667</v>
      </c>
      <c r="M82" s="43">
        <f>1-(H82/$C$4)/(0.1*K82*(1/0.15-1)+H82/$C$4)</f>
        <v>0.608635298112034</v>
      </c>
      <c r="N82" s="44">
        <f t="shared" si="15"/>
        <v>0.999556266895293</v>
      </c>
      <c r="O82" s="29">
        <f t="shared" si="16"/>
        <v>8.76228716276172e-5</v>
      </c>
      <c r="P82" s="33">
        <f t="shared" si="17"/>
        <v>0.483216387953667</v>
      </c>
      <c r="Q82" s="33">
        <f t="shared" si="18"/>
        <v>8.76228716276172e-5</v>
      </c>
      <c r="R82" s="45">
        <f>K82-P82*N82/((1-P82)*$C$4)</f>
        <v>5.776886757723e-5</v>
      </c>
    </row>
    <row r="83" ht="16.5" customHeight="1" spans="1:18">
      <c r="A83" s="36">
        <f>$E$4/$C$4</f>
        <v>4.98128004152468e-5</v>
      </c>
      <c r="B83" s="37">
        <f>0.312*$E$4^2</f>
        <v>0.758772654620728</v>
      </c>
      <c r="C83" s="36">
        <f t="shared" si="11"/>
        <v>0.000129513281079642</v>
      </c>
      <c r="D83" s="18">
        <v>2.6</v>
      </c>
      <c r="E83" s="18">
        <f>$E$4/$C$4/$A$75</f>
        <v>1</v>
      </c>
      <c r="F83" s="37">
        <f t="shared" si="19"/>
        <v>0.766736763802788</v>
      </c>
      <c r="G83" s="36">
        <f t="shared" si="12"/>
        <v>0.000129513281079642</v>
      </c>
      <c r="H83" s="38">
        <f>(1-F83)*$C$4*C83</f>
        <v>0.945797546342988</v>
      </c>
      <c r="I83" s="42">
        <f t="shared" si="13"/>
        <v>0.000129504894958765</v>
      </c>
      <c r="J83" s="38">
        <f t="shared" si="14"/>
        <v>0.945920039686452</v>
      </c>
      <c r="K83" s="36">
        <f>G83-H83/$C$4</f>
        <v>9.93025940044853e-5</v>
      </c>
      <c r="L83" s="43">
        <f>1-(H83/$C$4/G83)^0.5</f>
        <v>0.517026671339698</v>
      </c>
      <c r="M83" s="43">
        <f>1-(H83/$C$4)/(0.1*K83*(1/0.15-1)+H83/$C$4)</f>
        <v>0.650671443459687</v>
      </c>
      <c r="N83" s="44">
        <f t="shared" si="15"/>
        <v>0.945797546342988</v>
      </c>
      <c r="O83" s="29">
        <f t="shared" si="16"/>
        <v>9.93025940044853e-5</v>
      </c>
      <c r="P83" s="33">
        <f t="shared" si="17"/>
        <v>0.517026671339698</v>
      </c>
      <c r="Q83" s="33">
        <f t="shared" si="18"/>
        <v>9.93025940044853e-5</v>
      </c>
      <c r="R83" s="45">
        <f>K83-P83*N83/((1-P83)*$C$4)</f>
        <v>6.69618206108899e-5</v>
      </c>
    </row>
    <row r="84" ht="16.5" customHeight="1" spans="1:18">
      <c r="A84" s="36">
        <f>$E$4/$C$4</f>
        <v>4.98128004152468e-5</v>
      </c>
      <c r="B84" s="37">
        <f>0.312*$E$4^2</f>
        <v>0.758772654620728</v>
      </c>
      <c r="C84" s="36">
        <f t="shared" si="11"/>
        <v>0.000139475841162691</v>
      </c>
      <c r="D84" s="18">
        <v>2.8</v>
      </c>
      <c r="E84" s="18">
        <f>$E$4/$C$4/$A$75</f>
        <v>1</v>
      </c>
      <c r="F84" s="37">
        <f t="shared" si="19"/>
        <v>0.794280397151071</v>
      </c>
      <c r="G84" s="36">
        <f t="shared" si="12"/>
        <v>0.000139475841162691</v>
      </c>
      <c r="H84" s="38">
        <f>(1-F84)*$C$4*C84</f>
        <v>0.898281068776809</v>
      </c>
      <c r="I84" s="42">
        <f t="shared" si="13"/>
        <v>0.000139466115311787</v>
      </c>
      <c r="J84" s="38">
        <f t="shared" si="14"/>
        <v>0.898406357284477</v>
      </c>
      <c r="K84" s="36">
        <f>G84-H84/$C$4</f>
        <v>0.000110782926511682</v>
      </c>
      <c r="L84" s="43">
        <f>1-(H84/$C$4/G84)^0.5</f>
        <v>0.546436770836823</v>
      </c>
      <c r="M84" s="43">
        <f>1-(H84/$C$4)/(0.1*K84*(1/0.15-1)+H84/$C$4)</f>
        <v>0.68631306405788</v>
      </c>
      <c r="N84" s="44">
        <f t="shared" si="15"/>
        <v>0.898281068776809</v>
      </c>
      <c r="O84" s="29">
        <f t="shared" si="16"/>
        <v>0.000110782926511682</v>
      </c>
      <c r="P84" s="33">
        <f t="shared" si="17"/>
        <v>0.546436770836823</v>
      </c>
      <c r="Q84" s="33">
        <f t="shared" si="18"/>
        <v>0.000110782926511682</v>
      </c>
      <c r="R84" s="45">
        <f>K84-P84*N84/((1-P84)*$C$4)</f>
        <v>7.62147282546905e-5</v>
      </c>
    </row>
    <row r="85" ht="16.5" customHeight="1" spans="1:18">
      <c r="A85" s="36">
        <f>$E$4/$C$4</f>
        <v>4.98128004152468e-5</v>
      </c>
      <c r="B85" s="37">
        <f>0.312*$E$4^2</f>
        <v>0.758772654620728</v>
      </c>
      <c r="C85" s="36">
        <f t="shared" si="11"/>
        <v>0.00014943840124574</v>
      </c>
      <c r="D85" s="18">
        <v>3</v>
      </c>
      <c r="E85" s="18">
        <f>$E$4/$C$4/$A$75</f>
        <v>1</v>
      </c>
      <c r="F85" s="37">
        <f t="shared" si="19"/>
        <v>0.817026075966661</v>
      </c>
      <c r="G85" s="36">
        <f t="shared" si="12"/>
        <v>0.00014943840124574</v>
      </c>
      <c r="H85" s="38">
        <f>(1-F85)*$C$4*C85</f>
        <v>0.856030020072241</v>
      </c>
      <c r="I85" s="42">
        <f t="shared" si="13"/>
        <v>0.000149427236440108</v>
      </c>
      <c r="J85" s="38">
        <f t="shared" si="14"/>
        <v>0.856157943829859</v>
      </c>
      <c r="K85" s="36">
        <f>G85-H85/$C$4</f>
        <v>0.000122095070568539</v>
      </c>
      <c r="L85" s="43">
        <f>1-(H85/$C$4/G85)^0.5</f>
        <v>0.572245486250187</v>
      </c>
      <c r="M85" s="43">
        <f>1-(H85/$C$4)/(0.1*K85*(1/0.15-1)+H85/$C$4)</f>
        <v>0.716739060687513</v>
      </c>
      <c r="N85" s="44">
        <f t="shared" si="15"/>
        <v>0.856030020072241</v>
      </c>
      <c r="O85" s="29">
        <f t="shared" si="16"/>
        <v>0.000122095070568539</v>
      </c>
      <c r="P85" s="33">
        <f t="shared" si="17"/>
        <v>0.572245486250187</v>
      </c>
      <c r="Q85" s="33">
        <f t="shared" si="18"/>
        <v>0.000122095070568539</v>
      </c>
      <c r="R85" s="45">
        <f>K85-P85*N85/((1-P85)*$C$4)</f>
        <v>8.55154505853193e-5</v>
      </c>
    </row>
    <row r="86" ht="16.5" customHeight="1" spans="1:18">
      <c r="A86" s="36">
        <f>$E$4/$C$4</f>
        <v>4.98128004152468e-5</v>
      </c>
      <c r="B86" s="37">
        <f>0.312*$E$4^2</f>
        <v>0.758772654620728</v>
      </c>
      <c r="C86" s="36">
        <f t="shared" si="11"/>
        <v>0.000199251201660987</v>
      </c>
      <c r="D86" s="18">
        <v>4</v>
      </c>
      <c r="E86" s="18">
        <f>$E$4/$C$4/$A$75</f>
        <v>1</v>
      </c>
      <c r="F86" s="37">
        <f t="shared" si="19"/>
        <v>0.88778596635376</v>
      </c>
      <c r="G86" s="36">
        <f t="shared" si="12"/>
        <v>0.000199251201660987</v>
      </c>
      <c r="H86" s="38">
        <f>(1-F86)*$C$4*C86</f>
        <v>0.699980116343982</v>
      </c>
      <c r="I86" s="42">
        <f t="shared" si="13"/>
        <v>0.000199231353776839</v>
      </c>
      <c r="J86" s="38">
        <f t="shared" si="14"/>
        <v>0.700119588223302</v>
      </c>
      <c r="K86" s="36">
        <f>G86-H86/$C$4</f>
        <v>0.000176892420613747</v>
      </c>
      <c r="L86" s="43">
        <f>1-(H86/$C$4/G86)^0.5</f>
        <v>0.665016368092051</v>
      </c>
      <c r="M86" s="43">
        <f>1-(H86/$C$4)/(0.1*K86*(1/0.15-1)+H86/$C$4)</f>
        <v>0.81762496953395</v>
      </c>
      <c r="N86" s="44">
        <f t="shared" si="15"/>
        <v>0.699980116343982</v>
      </c>
      <c r="O86" s="29">
        <f t="shared" si="16"/>
        <v>0.000176892420613747</v>
      </c>
      <c r="P86" s="33">
        <f t="shared" si="17"/>
        <v>0.665016368092051</v>
      </c>
      <c r="Q86" s="33">
        <f t="shared" si="18"/>
        <v>0.000176892420613747</v>
      </c>
      <c r="R86" s="45">
        <f>K86-P86*N86/((1-P86)*$C$4)</f>
        <v>0.000132505310466566</v>
      </c>
    </row>
    <row r="87" ht="16.5" customHeight="1" spans="1:18">
      <c r="A87" s="36">
        <f>$E$4/$C$4</f>
        <v>4.98128004152468e-5</v>
      </c>
      <c r="B87" s="37">
        <f>0.312*$E$4^2</f>
        <v>0.758772654620728</v>
      </c>
      <c r="C87" s="36">
        <f t="shared" si="11"/>
        <v>0.000249064002076234</v>
      </c>
      <c r="D87" s="18">
        <v>5</v>
      </c>
      <c r="E87" s="18">
        <f>$E$4/$C$4/$A$75</f>
        <v>1</v>
      </c>
      <c r="F87" s="37">
        <f t="shared" si="19"/>
        <v>0.923133994087806</v>
      </c>
      <c r="G87" s="36">
        <f t="shared" si="12"/>
        <v>0.000249064002076234</v>
      </c>
      <c r="H87" s="38">
        <f>(1-F87)*$C$4*C87</f>
        <v>0.599353240555189</v>
      </c>
      <c r="I87" s="42">
        <f t="shared" si="13"/>
        <v>0.000249032990786774</v>
      </c>
      <c r="J87" s="38">
        <f t="shared" si="14"/>
        <v>0.599502517871939</v>
      </c>
      <c r="K87" s="36">
        <f>G87-H87/$C$4</f>
        <v>0.000229919447020127</v>
      </c>
      <c r="L87" s="43">
        <f>1-(H87/$C$4/G87)^0.5</f>
        <v>0.722752807205927</v>
      </c>
      <c r="M87" s="43">
        <f>1-(H87/$C$4)/(0.1*K87*(1/0.15-1)+H87/$C$4)</f>
        <v>0.87188470949641</v>
      </c>
      <c r="N87" s="44">
        <f t="shared" si="15"/>
        <v>0.599353240555189</v>
      </c>
      <c r="O87" s="29">
        <f t="shared" si="16"/>
        <v>0.000229919447020127</v>
      </c>
      <c r="P87" s="33">
        <f t="shared" si="17"/>
        <v>0.722752807205927</v>
      </c>
      <c r="Q87" s="33">
        <f t="shared" si="18"/>
        <v>0.000229919447020127</v>
      </c>
      <c r="R87" s="45">
        <f>K87-P87*N87/((1-P87)*$C$4)</f>
        <v>0.000180011706674541</v>
      </c>
    </row>
    <row r="88" ht="16.5" customHeight="1" spans="1:18">
      <c r="A88" s="36">
        <f>$E$4/$C$4</f>
        <v>4.98128004152468e-5</v>
      </c>
      <c r="B88" s="37">
        <f>0.312*$E$4^2</f>
        <v>0.758772654620728</v>
      </c>
      <c r="C88" s="36">
        <f t="shared" si="11"/>
        <v>0.000298876802491481</v>
      </c>
      <c r="D88" s="18">
        <v>6</v>
      </c>
      <c r="E88" s="18">
        <f>$E$4/$C$4/$A$75</f>
        <v>1</v>
      </c>
      <c r="F88" s="37">
        <f t="shared" si="19"/>
        <v>0.943517856608495</v>
      </c>
      <c r="G88" s="36">
        <f t="shared" si="12"/>
        <v>0.000298876802491481</v>
      </c>
      <c r="H88" s="38">
        <f>(1-F88)*$C$4*C88</f>
        <v>0.528495091271517</v>
      </c>
      <c r="I88" s="42">
        <f t="shared" si="13"/>
        <v>0.000298832147717172</v>
      </c>
      <c r="J88" s="38">
        <f t="shared" si="14"/>
        <v>0.528653046194529</v>
      </c>
      <c r="K88" s="36">
        <f>G88-H88/$C$4</f>
        <v>0.000281995600076762</v>
      </c>
      <c r="L88" s="43">
        <f>1-(H88/$C$4/G88)^0.5</f>
        <v>0.762340278146453</v>
      </c>
      <c r="M88" s="43">
        <f>1-(H88/$C$4)/(0.1*K88*(1/0.15-1)+H88/$C$4)</f>
        <v>0.90445253704686</v>
      </c>
      <c r="N88" s="44">
        <f t="shared" si="15"/>
        <v>0.528495091271517</v>
      </c>
      <c r="O88" s="29">
        <f t="shared" si="16"/>
        <v>0.000281995600076762</v>
      </c>
      <c r="P88" s="33">
        <f t="shared" si="17"/>
        <v>0.762340278146453</v>
      </c>
      <c r="Q88" s="33">
        <f t="shared" si="18"/>
        <v>0.000281995600076762</v>
      </c>
      <c r="R88" s="45">
        <f>K88-P88*N88/((1-P88)*$C$4)</f>
        <v>0.000227845824742878</v>
      </c>
    </row>
    <row r="89" ht="16.5" customHeight="1" spans="1:18">
      <c r="A89" s="36">
        <f>$E$4/$C$4</f>
        <v>4.98128004152468e-5</v>
      </c>
      <c r="B89" s="37">
        <f>0.312*$E$4^2</f>
        <v>0.758772654620728</v>
      </c>
      <c r="C89" s="36">
        <f t="shared" si="11"/>
        <v>0.000348689602906728</v>
      </c>
      <c r="D89" s="18">
        <v>7</v>
      </c>
      <c r="E89" s="18">
        <f>$E$4/$C$4/$A$75</f>
        <v>1</v>
      </c>
      <c r="F89" s="37">
        <f t="shared" si="19"/>
        <v>0.956441525061824</v>
      </c>
      <c r="G89" s="36">
        <f t="shared" si="12"/>
        <v>0.000348689602906728</v>
      </c>
      <c r="H89" s="38">
        <f>(1-F89)*$C$4*C89</f>
        <v>0.475498601979202</v>
      </c>
      <c r="I89" s="42">
        <f t="shared" si="13"/>
        <v>0.000348628824815254</v>
      </c>
      <c r="J89" s="38">
        <f t="shared" si="14"/>
        <v>0.475664403397909</v>
      </c>
      <c r="K89" s="36">
        <f>G89-H89/$C$4</f>
        <v>0.000333501215577312</v>
      </c>
      <c r="L89" s="43">
        <f>1-(H89/$C$4/G89)^0.5</f>
        <v>0.791293327997938</v>
      </c>
      <c r="M89" s="43">
        <f>1-(H89/$C$4)/(0.1*K89*(1/0.15-1)+H89/$C$4)</f>
        <v>0.925609991245329</v>
      </c>
      <c r="N89" s="44">
        <f t="shared" si="15"/>
        <v>0.475498601979202</v>
      </c>
      <c r="O89" s="29">
        <f t="shared" si="16"/>
        <v>0.000333501215577312</v>
      </c>
      <c r="P89" s="33">
        <f t="shared" si="17"/>
        <v>0.791293327997938</v>
      </c>
      <c r="Q89" s="33">
        <f t="shared" si="18"/>
        <v>0.000333501215577312</v>
      </c>
      <c r="R89" s="45">
        <f>K89-P89*N89/((1-P89)*$C$4)</f>
        <v>0.000275915756322344</v>
      </c>
    </row>
    <row r="90" ht="16.5" customHeight="1" spans="1:18">
      <c r="A90" s="36">
        <f>$E$4/$C$4</f>
        <v>4.98128004152468e-5</v>
      </c>
      <c r="B90" s="37">
        <f>0.312*$E$4^2</f>
        <v>0.758772654620728</v>
      </c>
      <c r="C90" s="36">
        <f t="shared" si="11"/>
        <v>0.000398502403321974</v>
      </c>
      <c r="D90" s="18">
        <v>8</v>
      </c>
      <c r="E90" s="18">
        <f>$E$4/$C$4/$A$75</f>
        <v>1</v>
      </c>
      <c r="F90" s="37">
        <f t="shared" si="19"/>
        <v>0.96520353039613</v>
      </c>
      <c r="G90" s="36">
        <f t="shared" si="12"/>
        <v>0.000398502403321974</v>
      </c>
      <c r="H90" s="38">
        <f>(1-F90)*$C$4*C90</f>
        <v>0.434113916953782</v>
      </c>
      <c r="I90" s="42">
        <f t="shared" si="13"/>
        <v>0.000398423022327539</v>
      </c>
      <c r="J90" s="38">
        <f t="shared" si="14"/>
        <v>0.434286912393004</v>
      </c>
      <c r="K90" s="36">
        <f>G90-H90/$C$4</f>
        <v>0.000384635926557712</v>
      </c>
      <c r="L90" s="43">
        <f>1-(H90/$C$4/G90)^0.5</f>
        <v>0.813461881633084</v>
      </c>
      <c r="M90" s="43">
        <f>1-(H90/$C$4)/(0.1*K90*(1/0.15-1)+H90/$C$4)</f>
        <v>0.940186058462682</v>
      </c>
      <c r="N90" s="44">
        <f t="shared" si="15"/>
        <v>0.434113916953782</v>
      </c>
      <c r="O90" s="29">
        <f t="shared" si="16"/>
        <v>0.000384635926557712</v>
      </c>
      <c r="P90" s="33">
        <f t="shared" si="17"/>
        <v>0.813461881633084</v>
      </c>
      <c r="Q90" s="33">
        <f t="shared" si="18"/>
        <v>0.000384635926557712</v>
      </c>
      <c r="R90" s="45">
        <f>K90-P90*N90/((1-P90)*$C$4)</f>
        <v>0.000324166514841599</v>
      </c>
    </row>
    <row r="91" ht="16.5" customHeight="1" spans="1:18">
      <c r="A91" s="36">
        <f>$E$4/$C$4</f>
        <v>4.98128004152468e-5</v>
      </c>
      <c r="B91" s="37">
        <f>0.312*$E$4^2</f>
        <v>0.758772654620728</v>
      </c>
      <c r="C91" s="36">
        <f t="shared" si="11"/>
        <v>0.000448315203737221</v>
      </c>
      <c r="D91" s="18">
        <v>9</v>
      </c>
      <c r="E91" s="18">
        <f>$E$4/$C$4/$A$75</f>
        <v>1</v>
      </c>
      <c r="F91" s="37">
        <f t="shared" si="19"/>
        <v>0.971447690585427</v>
      </c>
      <c r="G91" s="36">
        <f t="shared" si="12"/>
        <v>0.000448315203737221</v>
      </c>
      <c r="H91" s="38">
        <f>(1-F91)*$C$4*C91</f>
        <v>0.400739626649955</v>
      </c>
      <c r="I91" s="42">
        <f t="shared" si="13"/>
        <v>0.000448214740501174</v>
      </c>
      <c r="J91" s="38">
        <f t="shared" si="14"/>
        <v>0.400919284317322</v>
      </c>
      <c r="K91" s="36">
        <f>G91-H91/$C$4</f>
        <v>0.000435514769324859</v>
      </c>
      <c r="L91" s="43">
        <f>1-(H91/$C$4/G91)^0.5</f>
        <v>0.831025713747408</v>
      </c>
      <c r="M91" s="43">
        <f>1-(H91/$C$4)/(0.1*K91*(1/0.15-1)+H91/$C$4)</f>
        <v>0.950690207496948</v>
      </c>
      <c r="N91" s="44">
        <f t="shared" si="15"/>
        <v>0.400739626649955</v>
      </c>
      <c r="O91" s="29">
        <f t="shared" si="16"/>
        <v>0.000435514769324859</v>
      </c>
      <c r="P91" s="33">
        <f t="shared" si="17"/>
        <v>0.831025713747408</v>
      </c>
      <c r="Q91" s="33">
        <f t="shared" si="18"/>
        <v>0.000435514769324859</v>
      </c>
      <c r="R91" s="45">
        <f>K91-P91*N91/((1-P91)*$C$4)</f>
        <v>0.000372561462169539</v>
      </c>
    </row>
    <row r="92" ht="16.5" customHeight="1" spans="1:18">
      <c r="A92" s="36">
        <f>$E$4/$C$4</f>
        <v>4.98128004152468e-5</v>
      </c>
      <c r="B92" s="37">
        <f>0.312*$E$4^2</f>
        <v>0.758772654620728</v>
      </c>
      <c r="C92" s="36">
        <f t="shared" si="11"/>
        <v>0.000498128004152468</v>
      </c>
      <c r="D92" s="18">
        <v>10</v>
      </c>
      <c r="E92" s="18">
        <f>$E$4/$C$4/$A$75</f>
        <v>1</v>
      </c>
      <c r="F92" s="37">
        <f t="shared" si="19"/>
        <v>0.976072230631089</v>
      </c>
      <c r="G92" s="36">
        <f t="shared" si="12"/>
        <v>0.000498128004152468</v>
      </c>
      <c r="H92" s="38">
        <f>(1-F92)*$C$4*C92</f>
        <v>0.373147685776632</v>
      </c>
      <c r="I92" s="42">
        <f t="shared" si="13"/>
        <v>0.000498003979583269</v>
      </c>
      <c r="J92" s="38">
        <f t="shared" si="14"/>
        <v>0.373333561088602</v>
      </c>
      <c r="K92" s="36">
        <f>G92-H92/$C$4</f>
        <v>0.000486208912152912</v>
      </c>
      <c r="L92" s="43">
        <f>1-(H92/$C$4/G92)^0.5</f>
        <v>0.845313965178136</v>
      </c>
      <c r="M92" s="43">
        <f>1-(H92/$C$4)/(0.1*K92*(1/0.15-1)+H92/$C$4)</f>
        <v>0.958533270664758</v>
      </c>
      <c r="N92" s="44">
        <f t="shared" si="15"/>
        <v>0.373147685776632</v>
      </c>
      <c r="O92" s="29">
        <f t="shared" si="16"/>
        <v>0.000486208912152912</v>
      </c>
      <c r="P92" s="33">
        <f t="shared" si="17"/>
        <v>0.845313965178136</v>
      </c>
      <c r="Q92" s="33">
        <f t="shared" si="18"/>
        <v>0.000486208912152912</v>
      </c>
      <c r="R92" s="45">
        <f>K92-P92*N92/((1-P92)*$C$4)</f>
        <v>0.000421074558356393</v>
      </c>
    </row>
    <row r="93" ht="16.5" customHeight="1" spans="1:18">
      <c r="A93" s="36">
        <f>$E$4/$C$4</f>
        <v>4.98128004152468e-5</v>
      </c>
      <c r="B93" s="37">
        <f>0.312*$E$4^2</f>
        <v>0.758772654620728</v>
      </c>
      <c r="C93" s="36">
        <f t="shared" si="11"/>
        <v>0.000547940804567715</v>
      </c>
      <c r="D93" s="18">
        <v>11</v>
      </c>
      <c r="E93" s="18">
        <f>$E$4/$C$4/$A$75</f>
        <v>1</v>
      </c>
      <c r="F93" s="37">
        <f t="shared" si="19"/>
        <v>0.979603790067615</v>
      </c>
      <c r="G93" s="36">
        <f t="shared" si="12"/>
        <v>0.000547940804567715</v>
      </c>
      <c r="H93" s="38">
        <f>(1-F93)*$C$4*C93</f>
        <v>0.349881272227982</v>
      </c>
      <c r="I93" s="42">
        <f t="shared" si="13"/>
        <v>0.000547790739820234</v>
      </c>
      <c r="J93" s="38">
        <f t="shared" si="14"/>
        <v>0.35007298645379</v>
      </c>
      <c r="K93" s="36">
        <f>G93-H93/$C$4</f>
        <v>0.000536764888887232</v>
      </c>
      <c r="L93" s="43">
        <f>1-(H93/$C$4/G93)^0.5</f>
        <v>0.857184699935948</v>
      </c>
      <c r="M93" s="43">
        <f>1-(H93/$C$4)/(0.1*K93*(1/0.15-1)+H93/$C$4)</f>
        <v>0.964559458091524</v>
      </c>
      <c r="N93" s="44">
        <f t="shared" si="15"/>
        <v>0.349881272227982</v>
      </c>
      <c r="O93" s="29">
        <f t="shared" si="16"/>
        <v>0.000536764888887232</v>
      </c>
      <c r="P93" s="33">
        <f t="shared" si="17"/>
        <v>0.857184699935948</v>
      </c>
      <c r="Q93" s="33">
        <f t="shared" si="18"/>
        <v>0.000536764888887232</v>
      </c>
      <c r="R93" s="45">
        <f>K93-P93*N93/((1-P93)*$C$4)</f>
        <v>0.000469686474146038</v>
      </c>
    </row>
    <row r="94" ht="20.25" customHeight="1" spans="1:18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</row>
    <row r="95" ht="20.25" customHeight="1" spans="1:18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</row>
    <row r="96" spans="1:1">
      <c r="A96" s="41" t="s">
        <v>37</v>
      </c>
    </row>
  </sheetData>
  <mergeCells count="9">
    <mergeCell ref="A1:S1"/>
    <mergeCell ref="A5:N5"/>
    <mergeCell ref="O5:R5"/>
    <mergeCell ref="A73:M73"/>
    <mergeCell ref="N73:Q73"/>
    <mergeCell ref="A3:A4"/>
    <mergeCell ref="G3:G4"/>
    <mergeCell ref="H3:H4"/>
    <mergeCell ref="A96:R10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ABAQUS中塑性损伤模型参数输入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creator>openpyxl</dc:creator>
  <cp:lastModifiedBy>Chen</cp:lastModifiedBy>
  <dcterms:created xsi:type="dcterms:W3CDTF">2015-06-05T18:19:00Z</dcterms:created>
  <dcterms:modified xsi:type="dcterms:W3CDTF">2023-03-30T10:52:50Z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B5391FE2DE674B929ADB6EE4F47D265D_12</vt:lpwstr>
  </property>
  <property fmtid="{D5CDD505-2E9C-101B-9397-08002B2CF9AE}" pid="3" name="KSOProductBuildVer">
    <vt:lpwstr>2052-11.1.0.14036</vt:lpwstr>
  </property>
</Properties>
</file>